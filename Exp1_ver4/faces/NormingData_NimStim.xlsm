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showInkAnnotation="0" autoCompressPictures="0"/>
  <mc:AlternateContent xmlns:mc="http://schemas.openxmlformats.org/markup-compatibility/2006">
    <mc:Choice Requires="x15">
      <x15ac:absPath xmlns:x15ac="http://schemas.microsoft.com/office/spreadsheetml/2010/11/ac" url="C:\Users\芸均\Desktop\Ensemble\Exp1_ver4\faces\"/>
    </mc:Choice>
  </mc:AlternateContent>
  <bookViews>
    <workbookView xWindow="4365" yWindow="735" windowWidth="28815" windowHeight="18105" activeTab="1"/>
  </bookViews>
  <sheets>
    <sheet name="Fits&amp;R^2" sheetId="13" r:id="rId1"/>
    <sheet name="Predicted Y's" sheetId="17" r:id="rId2"/>
    <sheet name="ResultsAcrossDuration" sheetId="12" r:id="rId3"/>
  </sheets>
  <calcPr calcId="15251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5" i="17" l="1"/>
  <c r="A166" i="17"/>
  <c r="A167" i="17"/>
  <c r="A168" i="17"/>
  <c r="A169" i="17"/>
  <c r="A170" i="17"/>
  <c r="A171" i="17"/>
  <c r="A172" i="17"/>
  <c r="A173" i="17"/>
  <c r="A174" i="17"/>
  <c r="A175" i="17"/>
  <c r="A176" i="17"/>
  <c r="A177" i="17"/>
  <c r="A178" i="17"/>
  <c r="A179" i="17"/>
  <c r="A180" i="17"/>
  <c r="A181" i="17"/>
  <c r="A182" i="17"/>
  <c r="A183" i="17"/>
  <c r="A184" i="17"/>
  <c r="A185" i="17"/>
  <c r="A186" i="17"/>
  <c r="A187" i="17"/>
  <c r="A188" i="17"/>
  <c r="A189" i="17"/>
  <c r="A190" i="17"/>
  <c r="A191" i="17"/>
  <c r="A192" i="17"/>
  <c r="A193" i="17"/>
  <c r="A194" i="17"/>
  <c r="A195" i="17"/>
  <c r="A196" i="17"/>
  <c r="A197" i="17"/>
  <c r="A198" i="17"/>
  <c r="A199" i="17"/>
  <c r="A200" i="17"/>
  <c r="A201" i="17"/>
  <c r="A202" i="17"/>
  <c r="A203" i="17"/>
  <c r="A204" i="17"/>
  <c r="A205" i="17"/>
  <c r="A206" i="17"/>
  <c r="A207" i="17"/>
  <c r="A208" i="17"/>
  <c r="A209" i="17"/>
  <c r="A210" i="17"/>
  <c r="A211" i="17"/>
  <c r="A212" i="17"/>
  <c r="A213" i="17"/>
  <c r="A214" i="17"/>
  <c r="A218" i="17"/>
  <c r="A219" i="17"/>
  <c r="A220" i="17"/>
  <c r="A221" i="17"/>
  <c r="A222" i="17"/>
  <c r="A223" i="17"/>
  <c r="A224" i="17"/>
  <c r="A225" i="17"/>
  <c r="A226" i="17"/>
  <c r="A227" i="17"/>
  <c r="A228" i="17"/>
  <c r="A229" i="17"/>
  <c r="A230" i="17"/>
  <c r="A231" i="17"/>
  <c r="A232" i="17"/>
  <c r="A233" i="17"/>
  <c r="A234" i="17"/>
  <c r="A235" i="17"/>
  <c r="A236" i="17"/>
  <c r="A237" i="17"/>
  <c r="A238" i="17"/>
  <c r="A239" i="17"/>
  <c r="A240" i="17"/>
  <c r="A241" i="17"/>
  <c r="A242" i="17"/>
  <c r="A243" i="17"/>
  <c r="A244" i="17"/>
  <c r="A245" i="17"/>
  <c r="A246" i="17"/>
  <c r="A247" i="17"/>
  <c r="A248" i="17"/>
  <c r="A249" i="17"/>
  <c r="A250" i="17"/>
  <c r="A251" i="17"/>
  <c r="A252" i="17"/>
  <c r="A253" i="17"/>
  <c r="A254" i="17"/>
  <c r="A255" i="17"/>
  <c r="A256" i="17"/>
  <c r="A257" i="17"/>
  <c r="A258" i="17"/>
  <c r="A259" i="17"/>
  <c r="A260" i="17"/>
  <c r="A261" i="17"/>
  <c r="A262" i="17"/>
  <c r="A263" i="17"/>
  <c r="A264" i="17"/>
  <c r="A265" i="17"/>
  <c r="A266" i="17"/>
  <c r="A267" i="17"/>
  <c r="A271" i="17"/>
  <c r="A272" i="17"/>
  <c r="J272" i="17"/>
  <c r="L272" i="17"/>
  <c r="N272" i="17"/>
  <c r="P272" i="17"/>
  <c r="A273" i="17"/>
  <c r="J273" i="17"/>
  <c r="L273" i="17"/>
  <c r="N273" i="17"/>
  <c r="P273" i="17"/>
  <c r="A274" i="17"/>
  <c r="J274" i="17"/>
  <c r="L274" i="17"/>
  <c r="N274" i="17"/>
  <c r="P274" i="17"/>
  <c r="A275" i="17"/>
  <c r="J275" i="17"/>
  <c r="L275" i="17"/>
  <c r="N275" i="17"/>
  <c r="P275" i="17"/>
  <c r="A276" i="17"/>
  <c r="J276" i="17"/>
  <c r="L276" i="17"/>
  <c r="N276" i="17"/>
  <c r="P276" i="17"/>
  <c r="A277" i="17"/>
  <c r="J277" i="17"/>
  <c r="L277" i="17"/>
  <c r="N277" i="17"/>
  <c r="P277" i="17"/>
  <c r="A278" i="17"/>
  <c r="J278" i="17"/>
  <c r="L278" i="17"/>
  <c r="N278" i="17"/>
  <c r="P278" i="17"/>
  <c r="A279" i="17"/>
  <c r="J279" i="17"/>
  <c r="L279" i="17"/>
  <c r="N279" i="17"/>
  <c r="P279" i="17"/>
  <c r="A280" i="17"/>
  <c r="J280" i="17"/>
  <c r="L280" i="17"/>
  <c r="N280" i="17"/>
  <c r="P280" i="17"/>
  <c r="A281" i="17"/>
  <c r="J281" i="17"/>
  <c r="L281" i="17"/>
  <c r="N281" i="17"/>
  <c r="P281" i="17"/>
  <c r="A282" i="17"/>
  <c r="J282" i="17"/>
  <c r="L282" i="17"/>
  <c r="N282" i="17"/>
  <c r="P282" i="17"/>
  <c r="A283" i="17"/>
  <c r="J283" i="17"/>
  <c r="L283" i="17"/>
  <c r="N283" i="17"/>
  <c r="P283" i="17"/>
  <c r="A284" i="17"/>
  <c r="J284" i="17"/>
  <c r="L284" i="17"/>
  <c r="N284" i="17"/>
  <c r="P284" i="17"/>
  <c r="A285" i="17"/>
  <c r="J285" i="17"/>
  <c r="L285" i="17"/>
  <c r="N285" i="17"/>
  <c r="P285" i="17"/>
  <c r="A286" i="17"/>
  <c r="J286" i="17"/>
  <c r="L286" i="17"/>
  <c r="N286" i="17"/>
  <c r="P286" i="17"/>
  <c r="A287" i="17"/>
  <c r="J287" i="17"/>
  <c r="L287" i="17"/>
  <c r="N287" i="17"/>
  <c r="P287" i="17"/>
  <c r="A288" i="17"/>
  <c r="J288" i="17"/>
  <c r="L288" i="17"/>
  <c r="N288" i="17"/>
  <c r="P288" i="17"/>
  <c r="A289" i="17"/>
  <c r="J289" i="17"/>
  <c r="L289" i="17"/>
  <c r="N289" i="17"/>
  <c r="P289" i="17"/>
  <c r="A290" i="17"/>
  <c r="J290" i="17"/>
  <c r="L290" i="17"/>
  <c r="N290" i="17"/>
  <c r="P290" i="17"/>
  <c r="A291" i="17"/>
  <c r="J291" i="17"/>
  <c r="L291" i="17"/>
  <c r="N291" i="17"/>
  <c r="P291" i="17"/>
  <c r="A292" i="17"/>
  <c r="J292" i="17"/>
  <c r="L292" i="17"/>
  <c r="N292" i="17"/>
  <c r="P292" i="17"/>
  <c r="A293" i="17"/>
  <c r="J293" i="17"/>
  <c r="L293" i="17"/>
  <c r="N293" i="17"/>
  <c r="P293" i="17"/>
  <c r="A294" i="17"/>
  <c r="J294" i="17"/>
  <c r="L294" i="17"/>
  <c r="N294" i="17"/>
  <c r="P294" i="17"/>
  <c r="A295" i="17"/>
  <c r="J295" i="17"/>
  <c r="L295" i="17"/>
  <c r="N295" i="17"/>
  <c r="P295" i="17"/>
  <c r="A296" i="17"/>
  <c r="J296" i="17"/>
  <c r="L296" i="17"/>
  <c r="N296" i="17"/>
  <c r="P296" i="17"/>
  <c r="A297" i="17"/>
  <c r="J297" i="17"/>
  <c r="L297" i="17"/>
  <c r="N297" i="17"/>
  <c r="P297" i="17"/>
  <c r="A298" i="17"/>
  <c r="J298" i="17"/>
  <c r="L298" i="17"/>
  <c r="N298" i="17"/>
  <c r="P298" i="17"/>
  <c r="A299" i="17"/>
  <c r="J299" i="17"/>
  <c r="L299" i="17"/>
  <c r="N299" i="17"/>
  <c r="P299" i="17"/>
  <c r="A300" i="17"/>
  <c r="J300" i="17"/>
  <c r="L300" i="17"/>
  <c r="N300" i="17"/>
  <c r="P300" i="17"/>
  <c r="A301" i="17"/>
  <c r="J301" i="17"/>
  <c r="L301" i="17"/>
  <c r="N301" i="17"/>
  <c r="P301" i="17"/>
  <c r="A302" i="17"/>
  <c r="J302" i="17"/>
  <c r="L302" i="17"/>
  <c r="N302" i="17"/>
  <c r="P302" i="17"/>
  <c r="A303" i="17"/>
  <c r="J303" i="17"/>
  <c r="L303" i="17"/>
  <c r="N303" i="17"/>
  <c r="P303" i="17"/>
  <c r="A304" i="17"/>
  <c r="J304" i="17"/>
  <c r="L304" i="17"/>
  <c r="N304" i="17"/>
  <c r="P304" i="17"/>
  <c r="A305" i="17"/>
  <c r="J305" i="17"/>
  <c r="L305" i="17"/>
  <c r="N305" i="17"/>
  <c r="P305" i="17"/>
  <c r="A306" i="17"/>
  <c r="J306" i="17"/>
  <c r="L306" i="17"/>
  <c r="N306" i="17"/>
  <c r="P306" i="17"/>
  <c r="A307" i="17"/>
  <c r="J307" i="17"/>
  <c r="L307" i="17"/>
  <c r="N307" i="17"/>
  <c r="P307" i="17"/>
  <c r="A308" i="17"/>
  <c r="J308" i="17"/>
  <c r="L308" i="17"/>
  <c r="N308" i="17"/>
  <c r="P308" i="17"/>
  <c r="A309" i="17"/>
  <c r="J309" i="17"/>
  <c r="L309" i="17"/>
  <c r="N309" i="17"/>
  <c r="P309" i="17"/>
  <c r="A310" i="17"/>
  <c r="J310" i="17"/>
  <c r="L310" i="17"/>
  <c r="N310" i="17"/>
  <c r="P310" i="17"/>
  <c r="A311" i="17"/>
  <c r="J311" i="17"/>
  <c r="L311" i="17"/>
  <c r="N311" i="17"/>
  <c r="P311" i="17"/>
  <c r="A312" i="17"/>
  <c r="J312" i="17"/>
  <c r="L312" i="17"/>
  <c r="N312" i="17"/>
  <c r="P312" i="17"/>
  <c r="A313" i="17"/>
  <c r="J313" i="17"/>
  <c r="L313" i="17"/>
  <c r="N313" i="17"/>
  <c r="P313" i="17"/>
  <c r="A314" i="17"/>
  <c r="J314" i="17"/>
  <c r="L314" i="17"/>
  <c r="N314" i="17"/>
  <c r="P314" i="17"/>
  <c r="A315" i="17"/>
  <c r="J315" i="17"/>
  <c r="L315" i="17"/>
  <c r="N315" i="17"/>
  <c r="P315" i="17"/>
  <c r="A316" i="17"/>
  <c r="J316" i="17"/>
  <c r="L316" i="17"/>
  <c r="N316" i="17"/>
  <c r="P316" i="17"/>
  <c r="A317" i="17"/>
  <c r="J317" i="17"/>
  <c r="L317" i="17"/>
  <c r="N317" i="17"/>
  <c r="P317" i="17"/>
  <c r="A318" i="17"/>
  <c r="J318" i="17"/>
  <c r="L318" i="17"/>
  <c r="N318" i="17"/>
  <c r="P318" i="17"/>
  <c r="A319" i="17"/>
  <c r="J319" i="17"/>
  <c r="L319" i="17"/>
  <c r="N319" i="17"/>
  <c r="P319" i="17"/>
  <c r="A320" i="17"/>
  <c r="J320" i="17"/>
  <c r="L320" i="17"/>
  <c r="N320" i="17"/>
  <c r="P320" i="17"/>
  <c r="P271" i="17"/>
  <c r="N271" i="17"/>
  <c r="L271" i="17"/>
  <c r="J271" i="17"/>
  <c r="H271" i="17"/>
  <c r="J219" i="17"/>
  <c r="L219" i="17"/>
  <c r="N219" i="17"/>
  <c r="P219" i="17"/>
  <c r="J220" i="17"/>
  <c r="L220" i="17"/>
  <c r="N220" i="17"/>
  <c r="P220" i="17"/>
  <c r="J221" i="17"/>
  <c r="L221" i="17"/>
  <c r="N221" i="17"/>
  <c r="P221" i="17"/>
  <c r="J222" i="17"/>
  <c r="L222" i="17"/>
  <c r="N222" i="17"/>
  <c r="P222" i="17"/>
  <c r="J223" i="17"/>
  <c r="L223" i="17"/>
  <c r="N223" i="17"/>
  <c r="P223" i="17"/>
  <c r="J224" i="17"/>
  <c r="L224" i="17"/>
  <c r="N224" i="17"/>
  <c r="P224" i="17"/>
  <c r="J225" i="17"/>
  <c r="L225" i="17"/>
  <c r="N225" i="17"/>
  <c r="P225" i="17"/>
  <c r="J226" i="17"/>
  <c r="L226" i="17"/>
  <c r="N226" i="17"/>
  <c r="P226" i="17"/>
  <c r="J227" i="17"/>
  <c r="L227" i="17"/>
  <c r="N227" i="17"/>
  <c r="P227" i="17"/>
  <c r="J228" i="17"/>
  <c r="L228" i="17"/>
  <c r="N228" i="17"/>
  <c r="P228" i="17"/>
  <c r="J229" i="17"/>
  <c r="L229" i="17"/>
  <c r="N229" i="17"/>
  <c r="P229" i="17"/>
  <c r="J230" i="17"/>
  <c r="L230" i="17"/>
  <c r="N230" i="17"/>
  <c r="P230" i="17"/>
  <c r="J231" i="17"/>
  <c r="L231" i="17"/>
  <c r="N231" i="17"/>
  <c r="P231" i="17"/>
  <c r="J232" i="17"/>
  <c r="L232" i="17"/>
  <c r="N232" i="17"/>
  <c r="P232" i="17"/>
  <c r="J233" i="17"/>
  <c r="L233" i="17"/>
  <c r="N233" i="17"/>
  <c r="P233" i="17"/>
  <c r="J234" i="17"/>
  <c r="L234" i="17"/>
  <c r="N234" i="17"/>
  <c r="P234" i="17"/>
  <c r="J235" i="17"/>
  <c r="L235" i="17"/>
  <c r="N235" i="17"/>
  <c r="P235" i="17"/>
  <c r="J236" i="17"/>
  <c r="L236" i="17"/>
  <c r="N236" i="17"/>
  <c r="P236" i="17"/>
  <c r="J237" i="17"/>
  <c r="L237" i="17"/>
  <c r="N237" i="17"/>
  <c r="P237" i="17"/>
  <c r="J238" i="17"/>
  <c r="L238" i="17"/>
  <c r="N238" i="17"/>
  <c r="P238" i="17"/>
  <c r="J239" i="17"/>
  <c r="L239" i="17"/>
  <c r="N239" i="17"/>
  <c r="P239" i="17"/>
  <c r="J240" i="17"/>
  <c r="L240" i="17"/>
  <c r="N240" i="17"/>
  <c r="P240" i="17"/>
  <c r="J241" i="17"/>
  <c r="L241" i="17"/>
  <c r="N241" i="17"/>
  <c r="P241" i="17"/>
  <c r="J242" i="17"/>
  <c r="L242" i="17"/>
  <c r="N242" i="17"/>
  <c r="P242" i="17"/>
  <c r="J243" i="17"/>
  <c r="L243" i="17"/>
  <c r="N243" i="17"/>
  <c r="P243" i="17"/>
  <c r="J244" i="17"/>
  <c r="L244" i="17"/>
  <c r="N244" i="17"/>
  <c r="P244" i="17"/>
  <c r="J245" i="17"/>
  <c r="L245" i="17"/>
  <c r="N245" i="17"/>
  <c r="P245" i="17"/>
  <c r="J246" i="17"/>
  <c r="L246" i="17"/>
  <c r="N246" i="17"/>
  <c r="P246" i="17"/>
  <c r="J247" i="17"/>
  <c r="L247" i="17"/>
  <c r="N247" i="17"/>
  <c r="P247" i="17"/>
  <c r="J248" i="17"/>
  <c r="L248" i="17"/>
  <c r="N248" i="17"/>
  <c r="P248" i="17"/>
  <c r="J249" i="17"/>
  <c r="L249" i="17"/>
  <c r="N249" i="17"/>
  <c r="P249" i="17"/>
  <c r="J250" i="17"/>
  <c r="L250" i="17"/>
  <c r="N250" i="17"/>
  <c r="P250" i="17"/>
  <c r="J251" i="17"/>
  <c r="L251" i="17"/>
  <c r="N251" i="17"/>
  <c r="P251" i="17"/>
  <c r="J252" i="17"/>
  <c r="L252" i="17"/>
  <c r="N252" i="17"/>
  <c r="P252" i="17"/>
  <c r="J253" i="17"/>
  <c r="L253" i="17"/>
  <c r="N253" i="17"/>
  <c r="P253" i="17"/>
  <c r="J254" i="17"/>
  <c r="L254" i="17"/>
  <c r="N254" i="17"/>
  <c r="P254" i="17"/>
  <c r="J255" i="17"/>
  <c r="L255" i="17"/>
  <c r="N255" i="17"/>
  <c r="P255" i="17"/>
  <c r="J256" i="17"/>
  <c r="L256" i="17"/>
  <c r="N256" i="17"/>
  <c r="P256" i="17"/>
  <c r="J257" i="17"/>
  <c r="L257" i="17"/>
  <c r="N257" i="17"/>
  <c r="P257" i="17"/>
  <c r="J258" i="17"/>
  <c r="L258" i="17"/>
  <c r="N258" i="17"/>
  <c r="P258" i="17"/>
  <c r="J259" i="17"/>
  <c r="L259" i="17"/>
  <c r="N259" i="17"/>
  <c r="P259" i="17"/>
  <c r="J260" i="17"/>
  <c r="L260" i="17"/>
  <c r="N260" i="17"/>
  <c r="P260" i="17"/>
  <c r="J261" i="17"/>
  <c r="L261" i="17"/>
  <c r="N261" i="17"/>
  <c r="P261" i="17"/>
  <c r="J262" i="17"/>
  <c r="L262" i="17"/>
  <c r="N262" i="17"/>
  <c r="P262" i="17"/>
  <c r="J263" i="17"/>
  <c r="L263" i="17"/>
  <c r="N263" i="17"/>
  <c r="P263" i="17"/>
  <c r="J264" i="17"/>
  <c r="L264" i="17"/>
  <c r="N264" i="17"/>
  <c r="P264" i="17"/>
  <c r="J265" i="17"/>
  <c r="L265" i="17"/>
  <c r="N265" i="17"/>
  <c r="P265" i="17"/>
  <c r="J266" i="17"/>
  <c r="L266" i="17"/>
  <c r="N266" i="17"/>
  <c r="P266" i="17"/>
  <c r="J267" i="17"/>
  <c r="L267" i="17"/>
  <c r="N267" i="17"/>
  <c r="P267" i="17"/>
  <c r="P218" i="17"/>
  <c r="N218" i="17"/>
  <c r="L218" i="17"/>
  <c r="J218" i="17"/>
  <c r="H218" i="17"/>
  <c r="P214" i="17"/>
  <c r="L171" i="17"/>
  <c r="N171" i="17"/>
  <c r="P171" i="17"/>
  <c r="L172" i="17"/>
  <c r="N172" i="17"/>
  <c r="P172" i="17"/>
  <c r="L173" i="17"/>
  <c r="N173" i="17"/>
  <c r="P173" i="17"/>
  <c r="L174" i="17"/>
  <c r="N174" i="17"/>
  <c r="P174" i="17"/>
  <c r="L175" i="17"/>
  <c r="N175" i="17"/>
  <c r="P175" i="17"/>
  <c r="L176" i="17"/>
  <c r="N176" i="17"/>
  <c r="P176" i="17"/>
  <c r="L177" i="17"/>
  <c r="N177" i="17"/>
  <c r="P177" i="17"/>
  <c r="L178" i="17"/>
  <c r="N178" i="17"/>
  <c r="P178" i="17"/>
  <c r="L179" i="17"/>
  <c r="N179" i="17"/>
  <c r="P179" i="17"/>
  <c r="L180" i="17"/>
  <c r="N180" i="17"/>
  <c r="P180" i="17"/>
  <c r="L181" i="17"/>
  <c r="N181" i="17"/>
  <c r="P181" i="17"/>
  <c r="L182" i="17"/>
  <c r="N182" i="17"/>
  <c r="P182" i="17"/>
  <c r="L183" i="17"/>
  <c r="N183" i="17"/>
  <c r="P183" i="17"/>
  <c r="L184" i="17"/>
  <c r="N184" i="17"/>
  <c r="P184" i="17"/>
  <c r="L185" i="17"/>
  <c r="N185" i="17"/>
  <c r="P185" i="17"/>
  <c r="L186" i="17"/>
  <c r="N186" i="17"/>
  <c r="P186" i="17"/>
  <c r="L187" i="17"/>
  <c r="N187" i="17"/>
  <c r="P187" i="17"/>
  <c r="L188" i="17"/>
  <c r="N188" i="17"/>
  <c r="P188" i="17"/>
  <c r="L189" i="17"/>
  <c r="N189" i="17"/>
  <c r="P189" i="17"/>
  <c r="L190" i="17"/>
  <c r="N190" i="17"/>
  <c r="P190" i="17"/>
  <c r="L191" i="17"/>
  <c r="N191" i="17"/>
  <c r="P191" i="17"/>
  <c r="L192" i="17"/>
  <c r="N192" i="17"/>
  <c r="P192" i="17"/>
  <c r="L193" i="17"/>
  <c r="N193" i="17"/>
  <c r="P193" i="17"/>
  <c r="L194" i="17"/>
  <c r="N194" i="17"/>
  <c r="P194" i="17"/>
  <c r="L195" i="17"/>
  <c r="N195" i="17"/>
  <c r="P195" i="17"/>
  <c r="L196" i="17"/>
  <c r="N196" i="17"/>
  <c r="P196" i="17"/>
  <c r="L197" i="17"/>
  <c r="N197" i="17"/>
  <c r="P197" i="17"/>
  <c r="L198" i="17"/>
  <c r="N198" i="17"/>
  <c r="P198" i="17"/>
  <c r="L199" i="17"/>
  <c r="N199" i="17"/>
  <c r="P199" i="17"/>
  <c r="L200" i="17"/>
  <c r="N200" i="17"/>
  <c r="P200" i="17"/>
  <c r="L201" i="17"/>
  <c r="N201" i="17"/>
  <c r="P201" i="17"/>
  <c r="L202" i="17"/>
  <c r="N202" i="17"/>
  <c r="P202" i="17"/>
  <c r="L203" i="17"/>
  <c r="N203" i="17"/>
  <c r="P203" i="17"/>
  <c r="L204" i="17"/>
  <c r="N204" i="17"/>
  <c r="P204" i="17"/>
  <c r="L205" i="17"/>
  <c r="N205" i="17"/>
  <c r="P205" i="17"/>
  <c r="L206" i="17"/>
  <c r="N206" i="17"/>
  <c r="P206" i="17"/>
  <c r="L207" i="17"/>
  <c r="N207" i="17"/>
  <c r="P207" i="17"/>
  <c r="L208" i="17"/>
  <c r="N208" i="17"/>
  <c r="P208" i="17"/>
  <c r="L209" i="17"/>
  <c r="N209" i="17"/>
  <c r="P209" i="17"/>
  <c r="L210" i="17"/>
  <c r="N210" i="17"/>
  <c r="P210" i="17"/>
  <c r="L211" i="17"/>
  <c r="N211" i="17"/>
  <c r="P211" i="17"/>
  <c r="L212" i="17"/>
  <c r="N212" i="17"/>
  <c r="P212" i="17"/>
  <c r="L213" i="17"/>
  <c r="N213" i="17"/>
  <c r="P213" i="17"/>
  <c r="L214" i="17"/>
  <c r="N214" i="17"/>
  <c r="L166" i="17"/>
  <c r="N166" i="17"/>
  <c r="P166" i="17"/>
  <c r="L167" i="17"/>
  <c r="N167" i="17"/>
  <c r="P167" i="17"/>
  <c r="L168" i="17"/>
  <c r="N168" i="17"/>
  <c r="P168" i="17"/>
  <c r="L169" i="17"/>
  <c r="N169" i="17"/>
  <c r="P169" i="17"/>
  <c r="L170" i="17"/>
  <c r="N170" i="17"/>
  <c r="P170" i="17"/>
  <c r="P165" i="17"/>
  <c r="N165" i="17"/>
  <c r="L165" i="17"/>
  <c r="J165" i="17"/>
  <c r="J166" i="17"/>
  <c r="J167" i="17"/>
  <c r="J168" i="17"/>
  <c r="J169" i="17"/>
  <c r="J170" i="17"/>
  <c r="J171" i="17"/>
  <c r="J172" i="17"/>
  <c r="J173" i="17"/>
  <c r="J174" i="17"/>
  <c r="J175" i="17"/>
  <c r="J176" i="17"/>
  <c r="J177" i="17"/>
  <c r="J178" i="17"/>
  <c r="J179" i="17"/>
  <c r="J180" i="17"/>
  <c r="J181" i="17"/>
  <c r="J182" i="17"/>
  <c r="J183" i="17"/>
  <c r="J184" i="17"/>
  <c r="J185" i="17"/>
  <c r="J186" i="17"/>
  <c r="J187" i="17"/>
  <c r="J188" i="17"/>
  <c r="J189" i="17"/>
  <c r="J190" i="17"/>
  <c r="J191" i="17"/>
  <c r="J192" i="17"/>
  <c r="J193" i="17"/>
  <c r="J194" i="17"/>
  <c r="J195" i="17"/>
  <c r="J196" i="17"/>
  <c r="J197" i="17"/>
  <c r="J198" i="17"/>
  <c r="J199" i="17"/>
  <c r="J200" i="17"/>
  <c r="J201" i="17"/>
  <c r="J202" i="17"/>
  <c r="J203" i="17"/>
  <c r="J204" i="17"/>
  <c r="J205" i="17"/>
  <c r="J206" i="17"/>
  <c r="J207" i="17"/>
  <c r="J208" i="17"/>
  <c r="J209" i="17"/>
  <c r="J210" i="17"/>
  <c r="J211" i="17"/>
  <c r="J212" i="17"/>
  <c r="J213" i="17"/>
  <c r="J214" i="17"/>
  <c r="H272" i="17"/>
  <c r="H273" i="17"/>
  <c r="H274" i="17"/>
  <c r="H275" i="17"/>
  <c r="H276" i="17"/>
  <c r="H277" i="17"/>
  <c r="H278" i="17"/>
  <c r="H279" i="17"/>
  <c r="H280" i="17"/>
  <c r="H281" i="17"/>
  <c r="H282" i="17"/>
  <c r="H283" i="17"/>
  <c r="H284" i="17"/>
  <c r="H285" i="17"/>
  <c r="H286" i="17"/>
  <c r="H287" i="17"/>
  <c r="H288" i="17"/>
  <c r="H289" i="17"/>
  <c r="H290" i="17"/>
  <c r="H291" i="17"/>
  <c r="H292" i="17"/>
  <c r="H293" i="17"/>
  <c r="H294" i="17"/>
  <c r="H295" i="17"/>
  <c r="H296" i="17"/>
  <c r="H297" i="17"/>
  <c r="H298" i="17"/>
  <c r="H299" i="17"/>
  <c r="H300" i="17"/>
  <c r="H301" i="17"/>
  <c r="H302" i="17"/>
  <c r="H303" i="17"/>
  <c r="H304" i="17"/>
  <c r="H305" i="17"/>
  <c r="H306" i="17"/>
  <c r="H307" i="17"/>
  <c r="H308" i="17"/>
  <c r="H309" i="17"/>
  <c r="H310" i="17"/>
  <c r="H311" i="17"/>
  <c r="H312" i="17"/>
  <c r="H313" i="17"/>
  <c r="H314" i="17"/>
  <c r="H315" i="17"/>
  <c r="H316" i="17"/>
  <c r="H317" i="17"/>
  <c r="H318" i="17"/>
  <c r="H319" i="17"/>
  <c r="H320" i="17"/>
  <c r="H219" i="17"/>
  <c r="H220" i="17"/>
  <c r="H221" i="17"/>
  <c r="H222" i="17"/>
  <c r="H223" i="17"/>
  <c r="H224" i="17"/>
  <c r="H225" i="17"/>
  <c r="H226" i="17"/>
  <c r="H227" i="17"/>
  <c r="H228" i="17"/>
  <c r="H229" i="17"/>
  <c r="H230" i="17"/>
  <c r="H231" i="17"/>
  <c r="H232" i="17"/>
  <c r="H233" i="17"/>
  <c r="H234" i="17"/>
  <c r="H235" i="17"/>
  <c r="H236" i="17"/>
  <c r="H237" i="17"/>
  <c r="H238" i="17"/>
  <c r="H239" i="17"/>
  <c r="H240" i="17"/>
  <c r="H241" i="17"/>
  <c r="H242" i="17"/>
  <c r="H243" i="17"/>
  <c r="H244" i="17"/>
  <c r="H245" i="17"/>
  <c r="H246" i="17"/>
  <c r="H247" i="17"/>
  <c r="H248" i="17"/>
  <c r="H249" i="17"/>
  <c r="H250" i="17"/>
  <c r="H251" i="17"/>
  <c r="H252" i="17"/>
  <c r="H253" i="17"/>
  <c r="H254" i="17"/>
  <c r="H255" i="17"/>
  <c r="H256" i="17"/>
  <c r="H257" i="17"/>
  <c r="H258" i="17"/>
  <c r="H259" i="17"/>
  <c r="H260" i="17"/>
  <c r="H261" i="17"/>
  <c r="H262" i="17"/>
  <c r="H263" i="17"/>
  <c r="H264" i="17"/>
  <c r="H265" i="17"/>
  <c r="H266" i="17"/>
  <c r="H267" i="17"/>
  <c r="H166" i="17"/>
  <c r="H167" i="17"/>
  <c r="H168" i="17"/>
  <c r="H169" i="17"/>
  <c r="H170" i="17"/>
  <c r="H171" i="17"/>
  <c r="H172" i="17"/>
  <c r="H173" i="17"/>
  <c r="H174" i="17"/>
  <c r="H175" i="17"/>
  <c r="H176" i="17"/>
  <c r="H177" i="17"/>
  <c r="H178" i="17"/>
  <c r="H179" i="17"/>
  <c r="H180" i="17"/>
  <c r="H181" i="17"/>
  <c r="H182" i="17"/>
  <c r="H183" i="17"/>
  <c r="H184" i="17"/>
  <c r="H185" i="17"/>
  <c r="H186" i="17"/>
  <c r="H187" i="17"/>
  <c r="H188" i="17"/>
  <c r="H189" i="17"/>
  <c r="H190" i="17"/>
  <c r="H191" i="17"/>
  <c r="H192" i="17"/>
  <c r="H193" i="17"/>
  <c r="H194" i="17"/>
  <c r="H195" i="17"/>
  <c r="H196" i="17"/>
  <c r="H197" i="17"/>
  <c r="H198" i="17"/>
  <c r="H199" i="17"/>
  <c r="H200" i="17"/>
  <c r="H201" i="17"/>
  <c r="H202" i="17"/>
  <c r="H203" i="17"/>
  <c r="H204" i="17"/>
  <c r="H205" i="17"/>
  <c r="H206" i="17"/>
  <c r="H207" i="17"/>
  <c r="H208" i="17"/>
  <c r="H209" i="17"/>
  <c r="H210" i="17"/>
  <c r="H211" i="17"/>
  <c r="H212" i="17"/>
  <c r="H213" i="17"/>
  <c r="H214" i="17"/>
  <c r="H165" i="17"/>
  <c r="F272" i="17"/>
  <c r="F273" i="17"/>
  <c r="F274" i="17"/>
  <c r="F275" i="17"/>
  <c r="F276" i="17"/>
  <c r="F277" i="17"/>
  <c r="F278" i="17"/>
  <c r="F279" i="17"/>
  <c r="F280" i="17"/>
  <c r="F281" i="17"/>
  <c r="F282" i="17"/>
  <c r="F283" i="17"/>
  <c r="F284" i="17"/>
  <c r="F285" i="17"/>
  <c r="F286" i="17"/>
  <c r="F287" i="17"/>
  <c r="F288" i="17"/>
  <c r="F289" i="17"/>
  <c r="F290" i="17"/>
  <c r="F291" i="17"/>
  <c r="F292" i="17"/>
  <c r="F293" i="17"/>
  <c r="F294" i="17"/>
  <c r="F295" i="17"/>
  <c r="F296" i="17"/>
  <c r="F297" i="17"/>
  <c r="F298" i="17"/>
  <c r="F299" i="17"/>
  <c r="F300" i="17"/>
  <c r="F301" i="17"/>
  <c r="F302" i="17"/>
  <c r="F303" i="17"/>
  <c r="F304" i="17"/>
  <c r="F305" i="17"/>
  <c r="F306" i="17"/>
  <c r="F307" i="17"/>
  <c r="F308" i="17"/>
  <c r="F309" i="17"/>
  <c r="F310" i="17"/>
  <c r="F311" i="17"/>
  <c r="F312" i="17"/>
  <c r="F313" i="17"/>
  <c r="F314" i="17"/>
  <c r="F315" i="17"/>
  <c r="F316" i="17"/>
  <c r="F317" i="17"/>
  <c r="F318" i="17"/>
  <c r="F319" i="17"/>
  <c r="F320" i="17"/>
  <c r="F271" i="17"/>
  <c r="F219" i="17"/>
  <c r="F220" i="17"/>
  <c r="F221" i="17"/>
  <c r="F222" i="17"/>
  <c r="F223" i="17"/>
  <c r="F224" i="17"/>
  <c r="F225" i="17"/>
  <c r="F226" i="17"/>
  <c r="F227" i="17"/>
  <c r="F228" i="17"/>
  <c r="F229" i="17"/>
  <c r="F230" i="17"/>
  <c r="F231" i="17"/>
  <c r="F232" i="17"/>
  <c r="F233" i="17"/>
  <c r="F234" i="17"/>
  <c r="F235" i="17"/>
  <c r="F236" i="17"/>
  <c r="F237" i="17"/>
  <c r="F238" i="17"/>
  <c r="F239" i="17"/>
  <c r="F240" i="17"/>
  <c r="F241" i="17"/>
  <c r="F242" i="17"/>
  <c r="F243" i="17"/>
  <c r="F244" i="17"/>
  <c r="F245" i="17"/>
  <c r="F246" i="17"/>
  <c r="F247" i="17"/>
  <c r="F248" i="17"/>
  <c r="F249" i="17"/>
  <c r="F250" i="17"/>
  <c r="F251" i="17"/>
  <c r="F252" i="17"/>
  <c r="F253" i="17"/>
  <c r="F254" i="17"/>
  <c r="F255" i="17"/>
  <c r="F256" i="17"/>
  <c r="F257" i="17"/>
  <c r="F258" i="17"/>
  <c r="F259" i="17"/>
  <c r="F260" i="17"/>
  <c r="F261" i="17"/>
  <c r="F262" i="17"/>
  <c r="F263" i="17"/>
  <c r="F264" i="17"/>
  <c r="F265" i="17"/>
  <c r="F266" i="17"/>
  <c r="F267" i="17"/>
  <c r="F218" i="17"/>
  <c r="F166" i="17"/>
  <c r="F167" i="17"/>
  <c r="F168" i="17"/>
  <c r="F169" i="17"/>
  <c r="F170" i="17"/>
  <c r="F171" i="17"/>
  <c r="F172" i="17"/>
  <c r="F173" i="17"/>
  <c r="F174" i="17"/>
  <c r="F175" i="17"/>
  <c r="F176" i="17"/>
  <c r="F177" i="17"/>
  <c r="F178" i="17"/>
  <c r="F179" i="17"/>
  <c r="F180" i="17"/>
  <c r="F181" i="17"/>
  <c r="F182" i="17"/>
  <c r="F183" i="17"/>
  <c r="F184" i="17"/>
  <c r="F185" i="17"/>
  <c r="F186" i="17"/>
  <c r="F187" i="17"/>
  <c r="F188" i="17"/>
  <c r="F189" i="17"/>
  <c r="F190" i="17"/>
  <c r="F191" i="17"/>
  <c r="F192" i="17"/>
  <c r="F193" i="17"/>
  <c r="F194" i="17"/>
  <c r="F195" i="17"/>
  <c r="F196" i="17"/>
  <c r="F197" i="17"/>
  <c r="F198" i="17"/>
  <c r="F199" i="17"/>
  <c r="F200" i="17"/>
  <c r="F201" i="17"/>
  <c r="F202" i="17"/>
  <c r="F203" i="17"/>
  <c r="F204" i="17"/>
  <c r="F205" i="17"/>
  <c r="F206" i="17"/>
  <c r="F207" i="17"/>
  <c r="F208" i="17"/>
  <c r="F209" i="17"/>
  <c r="F210" i="17"/>
  <c r="F211" i="17"/>
  <c r="F212" i="17"/>
  <c r="F213" i="17"/>
  <c r="F214" i="17"/>
  <c r="F165" i="17"/>
  <c r="D5" i="17"/>
  <c r="D272" i="17"/>
  <c r="D273" i="17"/>
  <c r="D274" i="17"/>
  <c r="D275" i="17"/>
  <c r="D276" i="17"/>
  <c r="D277" i="17"/>
  <c r="D278" i="17"/>
  <c r="D279" i="17"/>
  <c r="D280" i="17"/>
  <c r="D281" i="17"/>
  <c r="D282" i="17"/>
  <c r="D283" i="17"/>
  <c r="D284" i="17"/>
  <c r="D285" i="17"/>
  <c r="D286" i="17"/>
  <c r="D287" i="17"/>
  <c r="D288" i="17"/>
  <c r="D289" i="17"/>
  <c r="D290" i="17"/>
  <c r="D291" i="17"/>
  <c r="D292" i="17"/>
  <c r="D293" i="17"/>
  <c r="D294" i="17"/>
  <c r="D295" i="17"/>
  <c r="D296" i="17"/>
  <c r="D297" i="17"/>
  <c r="D298" i="17"/>
  <c r="D299" i="17"/>
  <c r="D300" i="17"/>
  <c r="D301" i="17"/>
  <c r="D302" i="17"/>
  <c r="D303" i="17"/>
  <c r="D304" i="17"/>
  <c r="D305" i="17"/>
  <c r="D306" i="17"/>
  <c r="D307" i="17"/>
  <c r="D308" i="17"/>
  <c r="D309" i="17"/>
  <c r="D310" i="17"/>
  <c r="D311" i="17"/>
  <c r="D312" i="17"/>
  <c r="D313" i="17"/>
  <c r="D314" i="17"/>
  <c r="D315" i="17"/>
  <c r="D316" i="17"/>
  <c r="D317" i="17"/>
  <c r="D318" i="17"/>
  <c r="D319" i="17"/>
  <c r="D320" i="17"/>
  <c r="D271" i="17"/>
  <c r="D229" i="17"/>
  <c r="D219" i="17"/>
  <c r="D220" i="17"/>
  <c r="D221" i="17"/>
  <c r="D222" i="17"/>
  <c r="D223" i="17"/>
  <c r="D224" i="17"/>
  <c r="D225" i="17"/>
  <c r="D226" i="17"/>
  <c r="D227" i="17"/>
  <c r="D228" i="17"/>
  <c r="D230" i="17"/>
  <c r="D231" i="17"/>
  <c r="D232" i="17"/>
  <c r="D233" i="17"/>
  <c r="D234" i="17"/>
  <c r="D235" i="17"/>
  <c r="D236" i="17"/>
  <c r="D237" i="17"/>
  <c r="D238" i="17"/>
  <c r="D239" i="17"/>
  <c r="D240" i="17"/>
  <c r="D241" i="17"/>
  <c r="D242" i="17"/>
  <c r="D243" i="17"/>
  <c r="D244" i="17"/>
  <c r="D245" i="17"/>
  <c r="D246" i="17"/>
  <c r="D247" i="17"/>
  <c r="D248" i="17"/>
  <c r="D249" i="17"/>
  <c r="D250" i="17"/>
  <c r="D251" i="17"/>
  <c r="D252" i="17"/>
  <c r="D253" i="17"/>
  <c r="D254" i="17"/>
  <c r="D255" i="17"/>
  <c r="D256" i="17"/>
  <c r="D257" i="17"/>
  <c r="D258" i="17"/>
  <c r="D259" i="17"/>
  <c r="D260" i="17"/>
  <c r="D261" i="17"/>
  <c r="D262" i="17"/>
  <c r="D263" i="17"/>
  <c r="D264" i="17"/>
  <c r="D265" i="17"/>
  <c r="D266" i="17"/>
  <c r="D267" i="17"/>
  <c r="D218" i="17"/>
  <c r="D166" i="17"/>
  <c r="D167" i="17"/>
  <c r="D168" i="17"/>
  <c r="D169" i="17"/>
  <c r="D170" i="17"/>
  <c r="D171" i="17"/>
  <c r="D172" i="17"/>
  <c r="D173" i="17"/>
  <c r="D174" i="17"/>
  <c r="D175" i="17"/>
  <c r="D176" i="17"/>
  <c r="D177" i="17"/>
  <c r="D178" i="17"/>
  <c r="D179" i="17"/>
  <c r="D180" i="17"/>
  <c r="D181" i="17"/>
  <c r="D182" i="17"/>
  <c r="D183" i="17"/>
  <c r="D184" i="17"/>
  <c r="D185" i="17"/>
  <c r="D186" i="17"/>
  <c r="D187" i="17"/>
  <c r="D188" i="17"/>
  <c r="D189" i="17"/>
  <c r="D190" i="17"/>
  <c r="D191" i="17"/>
  <c r="D192" i="17"/>
  <c r="D193" i="17"/>
  <c r="D194" i="17"/>
  <c r="D195" i="17"/>
  <c r="D196" i="17"/>
  <c r="D197" i="17"/>
  <c r="D198" i="17"/>
  <c r="D199" i="17"/>
  <c r="D200" i="17"/>
  <c r="D201" i="17"/>
  <c r="D202" i="17"/>
  <c r="D203" i="17"/>
  <c r="D204" i="17"/>
  <c r="D205" i="17"/>
  <c r="D206" i="17"/>
  <c r="D207" i="17"/>
  <c r="D208" i="17"/>
  <c r="D209" i="17"/>
  <c r="D210" i="17"/>
  <c r="D211" i="17"/>
  <c r="D212" i="17"/>
  <c r="D213" i="17"/>
  <c r="D214" i="17"/>
  <c r="D165" i="17"/>
  <c r="B258" i="17"/>
  <c r="B278" i="17"/>
  <c r="B272" i="17"/>
  <c r="B273" i="17"/>
  <c r="B274" i="17"/>
  <c r="B275" i="17"/>
  <c r="B276" i="17"/>
  <c r="B277" i="17"/>
  <c r="B279" i="17"/>
  <c r="B280" i="17"/>
  <c r="B281" i="17"/>
  <c r="B282" i="17"/>
  <c r="B283" i="17"/>
  <c r="B284" i="17"/>
  <c r="B285" i="17"/>
  <c r="B286" i="17"/>
  <c r="B287" i="17"/>
  <c r="B288" i="17"/>
  <c r="B289" i="17"/>
  <c r="B290" i="17"/>
  <c r="B291" i="17"/>
  <c r="B292" i="17"/>
  <c r="B293" i="17"/>
  <c r="B294" i="17"/>
  <c r="B295" i="17"/>
  <c r="B296" i="17"/>
  <c r="B297" i="17"/>
  <c r="B298" i="17"/>
  <c r="B299" i="17"/>
  <c r="B300" i="17"/>
  <c r="B301" i="17"/>
  <c r="B302" i="17"/>
  <c r="B303" i="17"/>
  <c r="B304" i="17"/>
  <c r="B305" i="17"/>
  <c r="B306" i="17"/>
  <c r="B307" i="17"/>
  <c r="B308" i="17"/>
  <c r="B309" i="17"/>
  <c r="B310" i="17"/>
  <c r="B311" i="17"/>
  <c r="B312" i="17"/>
  <c r="B313" i="17"/>
  <c r="B314" i="17"/>
  <c r="B315" i="17"/>
  <c r="B316" i="17"/>
  <c r="B317" i="17"/>
  <c r="B318" i="17"/>
  <c r="B319" i="17"/>
  <c r="B320" i="17"/>
  <c r="B271" i="17"/>
  <c r="B219" i="17"/>
  <c r="B220" i="17"/>
  <c r="B221" i="17"/>
  <c r="B222" i="17"/>
  <c r="B223" i="17"/>
  <c r="B224" i="17"/>
  <c r="B225" i="17"/>
  <c r="B226" i="17"/>
  <c r="B227" i="17"/>
  <c r="B228" i="17"/>
  <c r="B229" i="17"/>
  <c r="B230" i="17"/>
  <c r="B231" i="17"/>
  <c r="B232" i="17"/>
  <c r="B233" i="17"/>
  <c r="B234" i="17"/>
  <c r="B235" i="17"/>
  <c r="B236" i="17"/>
  <c r="B237" i="17"/>
  <c r="B238" i="17"/>
  <c r="B239" i="17"/>
  <c r="B240" i="17"/>
  <c r="B241" i="17"/>
  <c r="B242" i="17"/>
  <c r="B243" i="17"/>
  <c r="B244" i="17"/>
  <c r="B245" i="17"/>
  <c r="B246" i="17"/>
  <c r="B247" i="17"/>
  <c r="B248" i="17"/>
  <c r="B249" i="17"/>
  <c r="B250" i="17"/>
  <c r="B251" i="17"/>
  <c r="B252" i="17"/>
  <c r="B253" i="17"/>
  <c r="B254" i="17"/>
  <c r="B255" i="17"/>
  <c r="B256" i="17"/>
  <c r="B257" i="17"/>
  <c r="B259" i="17"/>
  <c r="B260" i="17"/>
  <c r="B261" i="17"/>
  <c r="B262" i="17"/>
  <c r="B263" i="17"/>
  <c r="B264" i="17"/>
  <c r="B265" i="17"/>
  <c r="B266" i="17"/>
  <c r="B267" i="17"/>
  <c r="B218" i="17"/>
  <c r="B166" i="17"/>
  <c r="B167" i="17"/>
  <c r="B168" i="17"/>
  <c r="B169" i="17"/>
  <c r="B170" i="17"/>
  <c r="B171" i="17"/>
  <c r="B172" i="17"/>
  <c r="B173" i="17"/>
  <c r="B174" i="17"/>
  <c r="B175" i="17"/>
  <c r="B176" i="17"/>
  <c r="B177" i="17"/>
  <c r="B178" i="17"/>
  <c r="B179" i="17"/>
  <c r="B180" i="17"/>
  <c r="B181" i="17"/>
  <c r="B182" i="17"/>
  <c r="B183" i="17"/>
  <c r="B184" i="17"/>
  <c r="B185" i="17"/>
  <c r="B186" i="17"/>
  <c r="B187" i="17"/>
  <c r="B188" i="17"/>
  <c r="B189" i="17"/>
  <c r="B190" i="17"/>
  <c r="B191" i="17"/>
  <c r="B192" i="17"/>
  <c r="B193" i="17"/>
  <c r="B194" i="17"/>
  <c r="B195" i="17"/>
  <c r="B196" i="17"/>
  <c r="B197" i="17"/>
  <c r="B198" i="17"/>
  <c r="B199" i="17"/>
  <c r="B200" i="17"/>
  <c r="B201" i="17"/>
  <c r="B202" i="17"/>
  <c r="B203" i="17"/>
  <c r="B204" i="17"/>
  <c r="B205" i="17"/>
  <c r="B206" i="17"/>
  <c r="B207" i="17"/>
  <c r="B208" i="17"/>
  <c r="B209" i="17"/>
  <c r="B210" i="17"/>
  <c r="B211" i="17"/>
  <c r="B212" i="17"/>
  <c r="B213" i="17"/>
  <c r="B214" i="17"/>
  <c r="B165" i="17"/>
  <c r="A6" i="17"/>
  <c r="A7" i="17"/>
  <c r="A8" i="17"/>
  <c r="A9" i="17"/>
  <c r="A10" i="17"/>
  <c r="A11" i="17"/>
  <c r="A12" i="17"/>
  <c r="A13" i="17"/>
  <c r="A14" i="17"/>
  <c r="A15" i="17"/>
  <c r="A16" i="17"/>
  <c r="A17" i="17"/>
  <c r="A18" i="17"/>
  <c r="A19" i="17"/>
  <c r="A20" i="17"/>
  <c r="A21" i="17"/>
  <c r="A22" i="17"/>
  <c r="A23" i="17"/>
  <c r="A24" i="17"/>
  <c r="A25" i="17"/>
  <c r="A26" i="17"/>
  <c r="A27" i="17"/>
  <c r="A28" i="17"/>
  <c r="A29" i="17"/>
  <c r="A30" i="17"/>
  <c r="A31" i="17"/>
  <c r="A32" i="17"/>
  <c r="A33" i="17"/>
  <c r="A34" i="17"/>
  <c r="A35" i="17"/>
  <c r="A36" i="17"/>
  <c r="A37" i="17"/>
  <c r="A38" i="17"/>
  <c r="A39" i="17"/>
  <c r="A40" i="17"/>
  <c r="A41" i="17"/>
  <c r="A42" i="17"/>
  <c r="A43" i="17"/>
  <c r="A44" i="17"/>
  <c r="A45" i="17"/>
  <c r="A46" i="17"/>
  <c r="A47" i="17"/>
  <c r="A48" i="17"/>
  <c r="A49" i="17"/>
  <c r="A50" i="17"/>
  <c r="A51" i="17"/>
  <c r="A52" i="17"/>
  <c r="A53" i="17"/>
  <c r="A54" i="17"/>
  <c r="A58" i="17"/>
  <c r="A59" i="17"/>
  <c r="A60" i="17"/>
  <c r="A61" i="17"/>
  <c r="A62" i="17"/>
  <c r="A63" i="17"/>
  <c r="A64" i="17"/>
  <c r="A65" i="17"/>
  <c r="A66" i="17"/>
  <c r="A67" i="17"/>
  <c r="A68" i="17"/>
  <c r="A69" i="17"/>
  <c r="A70" i="17"/>
  <c r="A71" i="17"/>
  <c r="A72" i="17"/>
  <c r="A73" i="17"/>
  <c r="A74" i="17"/>
  <c r="A75" i="17"/>
  <c r="A76" i="17"/>
  <c r="A77" i="17"/>
  <c r="A78" i="17"/>
  <c r="A79" i="17"/>
  <c r="A80" i="17"/>
  <c r="A81" i="17"/>
  <c r="A82" i="17"/>
  <c r="A83" i="17"/>
  <c r="A84" i="17"/>
  <c r="A85" i="17"/>
  <c r="A86" i="17"/>
  <c r="A87" i="17"/>
  <c r="A88" i="17"/>
  <c r="A89" i="17"/>
  <c r="A90" i="17"/>
  <c r="A91" i="17"/>
  <c r="A92" i="17"/>
  <c r="A93" i="17"/>
  <c r="A94" i="17"/>
  <c r="A95" i="17"/>
  <c r="A96" i="17"/>
  <c r="A97" i="17"/>
  <c r="A98" i="17"/>
  <c r="A99" i="17"/>
  <c r="A100" i="17"/>
  <c r="A101" i="17"/>
  <c r="A102" i="17"/>
  <c r="A103" i="17"/>
  <c r="A104" i="17"/>
  <c r="A105" i="17"/>
  <c r="A106" i="17"/>
  <c r="A107" i="17"/>
  <c r="A111" i="17"/>
  <c r="A112" i="17"/>
  <c r="P112" i="17"/>
  <c r="A113" i="17"/>
  <c r="P113" i="17"/>
  <c r="A114" i="17"/>
  <c r="P114" i="17"/>
  <c r="A115" i="17"/>
  <c r="P115" i="17"/>
  <c r="A116" i="17"/>
  <c r="P116" i="17"/>
  <c r="A117" i="17"/>
  <c r="P117" i="17"/>
  <c r="A118" i="17"/>
  <c r="P118" i="17"/>
  <c r="A119" i="17"/>
  <c r="P119" i="17"/>
  <c r="A120" i="17"/>
  <c r="P120" i="17"/>
  <c r="A121" i="17"/>
  <c r="P121" i="17"/>
  <c r="A122" i="17"/>
  <c r="P122" i="17"/>
  <c r="A123" i="17"/>
  <c r="P123" i="17"/>
  <c r="A124" i="17"/>
  <c r="P124" i="17"/>
  <c r="A125" i="17"/>
  <c r="P125" i="17"/>
  <c r="A126" i="17"/>
  <c r="P126" i="17"/>
  <c r="A127" i="17"/>
  <c r="P127" i="17"/>
  <c r="A128" i="17"/>
  <c r="P128" i="17"/>
  <c r="A129" i="17"/>
  <c r="P129" i="17"/>
  <c r="A130" i="17"/>
  <c r="P130" i="17"/>
  <c r="A131" i="17"/>
  <c r="P131" i="17"/>
  <c r="A132" i="17"/>
  <c r="P132" i="17"/>
  <c r="A133" i="17"/>
  <c r="P133" i="17"/>
  <c r="A134" i="17"/>
  <c r="P134" i="17"/>
  <c r="A135" i="17"/>
  <c r="P135" i="17"/>
  <c r="A136" i="17"/>
  <c r="P136" i="17"/>
  <c r="A137" i="17"/>
  <c r="P137" i="17"/>
  <c r="A138" i="17"/>
  <c r="P138" i="17"/>
  <c r="A139" i="17"/>
  <c r="P139" i="17"/>
  <c r="A140" i="17"/>
  <c r="P140" i="17"/>
  <c r="A141" i="17"/>
  <c r="P141" i="17"/>
  <c r="A142" i="17"/>
  <c r="P142" i="17"/>
  <c r="A143" i="17"/>
  <c r="P143" i="17"/>
  <c r="A144" i="17"/>
  <c r="P144" i="17"/>
  <c r="A145" i="17"/>
  <c r="P145" i="17"/>
  <c r="A146" i="17"/>
  <c r="P146" i="17"/>
  <c r="A147" i="17"/>
  <c r="P147" i="17"/>
  <c r="A148" i="17"/>
  <c r="P148" i="17"/>
  <c r="A149" i="17"/>
  <c r="P149" i="17"/>
  <c r="A150" i="17"/>
  <c r="P150" i="17"/>
  <c r="A151" i="17"/>
  <c r="P151" i="17"/>
  <c r="A152" i="17"/>
  <c r="P152" i="17"/>
  <c r="A153" i="17"/>
  <c r="P153" i="17"/>
  <c r="A154" i="17"/>
  <c r="P154" i="17"/>
  <c r="A155" i="17"/>
  <c r="P155" i="17"/>
  <c r="A156" i="17"/>
  <c r="P156" i="17"/>
  <c r="A157" i="17"/>
  <c r="P157" i="17"/>
  <c r="A158" i="17"/>
  <c r="P158" i="17"/>
  <c r="A159" i="17"/>
  <c r="P159" i="17"/>
  <c r="A160" i="17"/>
  <c r="P160" i="17"/>
  <c r="P111" i="17"/>
  <c r="P59" i="17"/>
  <c r="P60" i="17"/>
  <c r="P61" i="17"/>
  <c r="P62" i="17"/>
  <c r="P63" i="17"/>
  <c r="P64" i="17"/>
  <c r="P65" i="17"/>
  <c r="P66" i="17"/>
  <c r="P67" i="17"/>
  <c r="P68" i="17"/>
  <c r="P69" i="17"/>
  <c r="P70" i="17"/>
  <c r="P71" i="17"/>
  <c r="P72" i="17"/>
  <c r="P73" i="17"/>
  <c r="P74" i="17"/>
  <c r="P75" i="17"/>
  <c r="P76" i="17"/>
  <c r="P77" i="17"/>
  <c r="P78" i="17"/>
  <c r="P79" i="17"/>
  <c r="P80" i="17"/>
  <c r="P81" i="17"/>
  <c r="P82" i="17"/>
  <c r="P83" i="17"/>
  <c r="P84" i="17"/>
  <c r="P85" i="17"/>
  <c r="P86" i="17"/>
  <c r="P87" i="17"/>
  <c r="P88" i="17"/>
  <c r="P89" i="17"/>
  <c r="P90" i="17"/>
  <c r="P91" i="17"/>
  <c r="P92" i="17"/>
  <c r="P93" i="17"/>
  <c r="P94" i="17"/>
  <c r="P95" i="17"/>
  <c r="P96" i="17"/>
  <c r="P97" i="17"/>
  <c r="P98" i="17"/>
  <c r="P99" i="17"/>
  <c r="P100" i="17"/>
  <c r="P101" i="17"/>
  <c r="P102" i="17"/>
  <c r="P103" i="17"/>
  <c r="P104" i="17"/>
  <c r="P105" i="17"/>
  <c r="P106" i="17"/>
  <c r="P107" i="17"/>
  <c r="P58" i="17"/>
  <c r="P15" i="17"/>
  <c r="P54" i="17"/>
  <c r="P8" i="17"/>
  <c r="P9" i="17"/>
  <c r="P10" i="17"/>
  <c r="P11" i="17"/>
  <c r="P12" i="17"/>
  <c r="P13" i="17"/>
  <c r="P14" i="17"/>
  <c r="P16" i="17"/>
  <c r="P17" i="17"/>
  <c r="P18" i="17"/>
  <c r="P19" i="17"/>
  <c r="P20" i="17"/>
  <c r="P21" i="17"/>
  <c r="P22" i="17"/>
  <c r="P23" i="17"/>
  <c r="P24" i="17"/>
  <c r="P25" i="17"/>
  <c r="P26" i="17"/>
  <c r="P27" i="17"/>
  <c r="P28" i="17"/>
  <c r="P29" i="17"/>
  <c r="P30" i="17"/>
  <c r="P31" i="17"/>
  <c r="P32" i="17"/>
  <c r="P33" i="17"/>
  <c r="P34" i="17"/>
  <c r="P35" i="17"/>
  <c r="P36" i="17"/>
  <c r="P37" i="17"/>
  <c r="P38" i="17"/>
  <c r="P39" i="17"/>
  <c r="P40" i="17"/>
  <c r="P41" i="17"/>
  <c r="P42" i="17"/>
  <c r="P43" i="17"/>
  <c r="P44" i="17"/>
  <c r="P45" i="17"/>
  <c r="P46" i="17"/>
  <c r="P47" i="17"/>
  <c r="P48" i="17"/>
  <c r="P49" i="17"/>
  <c r="P50" i="17"/>
  <c r="P51" i="17"/>
  <c r="P52" i="17"/>
  <c r="P53" i="17"/>
  <c r="P6" i="17"/>
  <c r="P7" i="17"/>
  <c r="P5" i="17"/>
  <c r="N160" i="17"/>
  <c r="N112" i="17"/>
  <c r="N113" i="17"/>
  <c r="N114" i="17"/>
  <c r="N115" i="17"/>
  <c r="N116" i="17"/>
  <c r="N117" i="17"/>
  <c r="N118" i="17"/>
  <c r="N119" i="17"/>
  <c r="N120" i="17"/>
  <c r="N121" i="17"/>
  <c r="N122" i="17"/>
  <c r="N123" i="17"/>
  <c r="N124" i="17"/>
  <c r="N125" i="17"/>
  <c r="N126" i="17"/>
  <c r="N127" i="17"/>
  <c r="N128" i="17"/>
  <c r="N129" i="17"/>
  <c r="N130" i="17"/>
  <c r="N131" i="17"/>
  <c r="N132" i="17"/>
  <c r="N133" i="17"/>
  <c r="N134" i="17"/>
  <c r="N135" i="17"/>
  <c r="N136" i="17"/>
  <c r="N137" i="17"/>
  <c r="N138" i="17"/>
  <c r="N139" i="17"/>
  <c r="N140" i="17"/>
  <c r="N141" i="17"/>
  <c r="N142" i="17"/>
  <c r="N143" i="17"/>
  <c r="N144" i="17"/>
  <c r="N145" i="17"/>
  <c r="N146" i="17"/>
  <c r="N147" i="17"/>
  <c r="N148" i="17"/>
  <c r="N149" i="17"/>
  <c r="N150" i="17"/>
  <c r="N151" i="17"/>
  <c r="N152" i="17"/>
  <c r="N153" i="17"/>
  <c r="N154" i="17"/>
  <c r="N155" i="17"/>
  <c r="N156" i="17"/>
  <c r="N157" i="17"/>
  <c r="N158" i="17"/>
  <c r="N159" i="17"/>
  <c r="N111" i="17"/>
  <c r="N59" i="17"/>
  <c r="N60" i="17"/>
  <c r="N61" i="17"/>
  <c r="N62" i="17"/>
  <c r="N63" i="17"/>
  <c r="N64" i="17"/>
  <c r="N65" i="17"/>
  <c r="N66" i="17"/>
  <c r="N67" i="17"/>
  <c r="N68" i="17"/>
  <c r="N69" i="17"/>
  <c r="N70" i="17"/>
  <c r="N71" i="17"/>
  <c r="N72" i="17"/>
  <c r="N73" i="17"/>
  <c r="N74" i="17"/>
  <c r="N75" i="17"/>
  <c r="N76" i="17"/>
  <c r="N77" i="17"/>
  <c r="N78" i="17"/>
  <c r="N79" i="17"/>
  <c r="N80" i="17"/>
  <c r="N81" i="17"/>
  <c r="N82" i="17"/>
  <c r="N83" i="17"/>
  <c r="N84" i="17"/>
  <c r="N85" i="17"/>
  <c r="N86" i="17"/>
  <c r="N87" i="17"/>
  <c r="N88" i="17"/>
  <c r="N89" i="17"/>
  <c r="N90" i="17"/>
  <c r="N91" i="17"/>
  <c r="N92" i="17"/>
  <c r="N93" i="17"/>
  <c r="N94" i="17"/>
  <c r="N95" i="17"/>
  <c r="N96" i="17"/>
  <c r="N97" i="17"/>
  <c r="N98" i="17"/>
  <c r="N99" i="17"/>
  <c r="N100" i="17"/>
  <c r="N101" i="17"/>
  <c r="N102" i="17"/>
  <c r="N103" i="17"/>
  <c r="N104" i="17"/>
  <c r="N105" i="17"/>
  <c r="N106" i="17"/>
  <c r="N107" i="17"/>
  <c r="N58" i="17"/>
  <c r="N15" i="17"/>
  <c r="N6" i="17"/>
  <c r="N7" i="17"/>
  <c r="N8" i="17"/>
  <c r="N9" i="17"/>
  <c r="N10" i="17"/>
  <c r="N11" i="17"/>
  <c r="N12" i="17"/>
  <c r="N13" i="17"/>
  <c r="N14" i="17"/>
  <c r="N16" i="17"/>
  <c r="N17" i="17"/>
  <c r="N18" i="17"/>
  <c r="N19" i="17"/>
  <c r="N20" i="17"/>
  <c r="N21" i="17"/>
  <c r="N22" i="17"/>
  <c r="N23" i="17"/>
  <c r="N24" i="17"/>
  <c r="N25" i="17"/>
  <c r="N26" i="17"/>
  <c r="N27" i="17"/>
  <c r="N28" i="17"/>
  <c r="N29" i="17"/>
  <c r="N30" i="17"/>
  <c r="N31" i="17"/>
  <c r="N32" i="17"/>
  <c r="N33" i="17"/>
  <c r="N34" i="17"/>
  <c r="N35" i="17"/>
  <c r="N36" i="17"/>
  <c r="N37" i="17"/>
  <c r="N38" i="17"/>
  <c r="N39" i="17"/>
  <c r="N40" i="17"/>
  <c r="N41" i="17"/>
  <c r="N42" i="17"/>
  <c r="N43" i="17"/>
  <c r="N44" i="17"/>
  <c r="N45" i="17"/>
  <c r="N46" i="17"/>
  <c r="N47" i="17"/>
  <c r="N48" i="17"/>
  <c r="N49" i="17"/>
  <c r="N50" i="17"/>
  <c r="N51" i="17"/>
  <c r="N52" i="17"/>
  <c r="N53" i="17"/>
  <c r="N54" i="17"/>
  <c r="N5" i="17"/>
  <c r="L160" i="17"/>
  <c r="L112" i="17"/>
  <c r="L113" i="17"/>
  <c r="L114" i="17"/>
  <c r="L115" i="17"/>
  <c r="L116" i="17"/>
  <c r="L117" i="17"/>
  <c r="L118" i="17"/>
  <c r="L119" i="17"/>
  <c r="L120" i="17"/>
  <c r="L121" i="17"/>
  <c r="L122" i="17"/>
  <c r="L123" i="17"/>
  <c r="L124" i="17"/>
  <c r="L125" i="17"/>
  <c r="L126" i="17"/>
  <c r="L127" i="17"/>
  <c r="L128" i="17"/>
  <c r="L129" i="17"/>
  <c r="L130" i="17"/>
  <c r="L131" i="17"/>
  <c r="L132" i="17"/>
  <c r="L133" i="17"/>
  <c r="L134" i="17"/>
  <c r="L135" i="17"/>
  <c r="L136" i="17"/>
  <c r="L137" i="17"/>
  <c r="L138" i="17"/>
  <c r="L139" i="17"/>
  <c r="L140" i="17"/>
  <c r="L141" i="17"/>
  <c r="L142" i="17"/>
  <c r="L143" i="17"/>
  <c r="L144" i="17"/>
  <c r="L145" i="17"/>
  <c r="L146" i="17"/>
  <c r="L147" i="17"/>
  <c r="L148" i="17"/>
  <c r="L149" i="17"/>
  <c r="L150" i="17"/>
  <c r="L151" i="17"/>
  <c r="L152" i="17"/>
  <c r="L153" i="17"/>
  <c r="L154" i="17"/>
  <c r="L155" i="17"/>
  <c r="L156" i="17"/>
  <c r="L157" i="17"/>
  <c r="L158" i="17"/>
  <c r="L159" i="17"/>
  <c r="L111" i="17"/>
  <c r="L59" i="17"/>
  <c r="L60" i="17"/>
  <c r="L61" i="17"/>
  <c r="L62" i="17"/>
  <c r="L63" i="17"/>
  <c r="L64" i="17"/>
  <c r="L65" i="17"/>
  <c r="L66" i="17"/>
  <c r="L67" i="17"/>
  <c r="L68" i="17"/>
  <c r="L69" i="17"/>
  <c r="L70" i="17"/>
  <c r="L71" i="17"/>
  <c r="L72" i="17"/>
  <c r="L73" i="17"/>
  <c r="L74" i="17"/>
  <c r="L75" i="17"/>
  <c r="L76" i="17"/>
  <c r="L77" i="17"/>
  <c r="L78" i="17"/>
  <c r="L79" i="17"/>
  <c r="L80" i="17"/>
  <c r="L81" i="17"/>
  <c r="L82" i="17"/>
  <c r="L83" i="17"/>
  <c r="L84" i="17"/>
  <c r="L85" i="17"/>
  <c r="L86" i="17"/>
  <c r="L87" i="17"/>
  <c r="L88" i="17"/>
  <c r="L89" i="17"/>
  <c r="L90" i="17"/>
  <c r="L91" i="17"/>
  <c r="L92" i="17"/>
  <c r="L93" i="17"/>
  <c r="L94" i="17"/>
  <c r="L95" i="17"/>
  <c r="L96" i="17"/>
  <c r="L97" i="17"/>
  <c r="L98" i="17"/>
  <c r="L99" i="17"/>
  <c r="L100" i="17"/>
  <c r="L101" i="17"/>
  <c r="L102" i="17"/>
  <c r="L103" i="17"/>
  <c r="L104" i="17"/>
  <c r="L105" i="17"/>
  <c r="L106" i="17"/>
  <c r="L107" i="17"/>
  <c r="L58" i="17"/>
  <c r="L6" i="17"/>
  <c r="L7" i="17"/>
  <c r="L8" i="17"/>
  <c r="L9" i="17"/>
  <c r="L10" i="17"/>
  <c r="L11" i="17"/>
  <c r="L12" i="17"/>
  <c r="L13" i="17"/>
  <c r="L14" i="17"/>
  <c r="L15" i="17"/>
  <c r="L16" i="17"/>
  <c r="L17" i="17"/>
  <c r="L18" i="17"/>
  <c r="L19" i="17"/>
  <c r="L20" i="17"/>
  <c r="L21" i="17"/>
  <c r="L22" i="17"/>
  <c r="L23" i="17"/>
  <c r="L24" i="17"/>
  <c r="L25" i="17"/>
  <c r="L26" i="17"/>
  <c r="L27" i="17"/>
  <c r="L28" i="17"/>
  <c r="L29" i="17"/>
  <c r="L30" i="17"/>
  <c r="L31" i="17"/>
  <c r="L32" i="17"/>
  <c r="L33" i="17"/>
  <c r="L34" i="17"/>
  <c r="L35" i="17"/>
  <c r="L36" i="17"/>
  <c r="L37" i="17"/>
  <c r="L38" i="17"/>
  <c r="L39" i="17"/>
  <c r="L40" i="17"/>
  <c r="L41" i="17"/>
  <c r="L42" i="17"/>
  <c r="L43" i="17"/>
  <c r="L44" i="17"/>
  <c r="L45" i="17"/>
  <c r="L46" i="17"/>
  <c r="L47" i="17"/>
  <c r="L48" i="17"/>
  <c r="L49" i="17"/>
  <c r="L50" i="17"/>
  <c r="L51" i="17"/>
  <c r="L52" i="17"/>
  <c r="L53" i="17"/>
  <c r="L54" i="17"/>
  <c r="L5" i="17"/>
  <c r="J112" i="17"/>
  <c r="J113" i="17"/>
  <c r="J114" i="17"/>
  <c r="J115" i="17"/>
  <c r="J116" i="17"/>
  <c r="J117" i="17"/>
  <c r="J118" i="17"/>
  <c r="J119" i="17"/>
  <c r="J120" i="17"/>
  <c r="J121" i="17"/>
  <c r="J122" i="17"/>
  <c r="J123" i="17"/>
  <c r="J124" i="17"/>
  <c r="J125" i="17"/>
  <c r="J126" i="17"/>
  <c r="J127" i="17"/>
  <c r="J128" i="17"/>
  <c r="J129" i="17"/>
  <c r="J130" i="17"/>
  <c r="J131" i="17"/>
  <c r="J132" i="17"/>
  <c r="J133" i="17"/>
  <c r="J134" i="17"/>
  <c r="J135" i="17"/>
  <c r="J136" i="17"/>
  <c r="J137" i="17"/>
  <c r="J138" i="17"/>
  <c r="J139" i="17"/>
  <c r="J140" i="17"/>
  <c r="J141" i="17"/>
  <c r="J142" i="17"/>
  <c r="J143" i="17"/>
  <c r="J144" i="17"/>
  <c r="J145" i="17"/>
  <c r="J146" i="17"/>
  <c r="J147" i="17"/>
  <c r="J148" i="17"/>
  <c r="J149" i="17"/>
  <c r="J150" i="17"/>
  <c r="J151" i="17"/>
  <c r="J152" i="17"/>
  <c r="J153" i="17"/>
  <c r="J154" i="17"/>
  <c r="J155" i="17"/>
  <c r="J156" i="17"/>
  <c r="J157" i="17"/>
  <c r="J158" i="17"/>
  <c r="J159" i="17"/>
  <c r="J160" i="17"/>
  <c r="J111" i="17"/>
  <c r="J107" i="17"/>
  <c r="J59" i="17"/>
  <c r="J60" i="17"/>
  <c r="J61" i="17"/>
  <c r="J62" i="17"/>
  <c r="J63" i="17"/>
  <c r="J64" i="17"/>
  <c r="J65" i="17"/>
  <c r="J66" i="17"/>
  <c r="J67" i="17"/>
  <c r="J68" i="17"/>
  <c r="J69" i="17"/>
  <c r="J70" i="17"/>
  <c r="J71" i="17"/>
  <c r="J72" i="17"/>
  <c r="J73" i="17"/>
  <c r="J74" i="17"/>
  <c r="J75" i="17"/>
  <c r="J76" i="17"/>
  <c r="J77" i="17"/>
  <c r="J78" i="17"/>
  <c r="J79" i="17"/>
  <c r="J80" i="17"/>
  <c r="J81" i="17"/>
  <c r="J82" i="17"/>
  <c r="J83" i="17"/>
  <c r="J84" i="17"/>
  <c r="J85" i="17"/>
  <c r="J86" i="17"/>
  <c r="J87" i="17"/>
  <c r="J88" i="17"/>
  <c r="J89" i="17"/>
  <c r="J90" i="17"/>
  <c r="J91" i="17"/>
  <c r="J92" i="17"/>
  <c r="J93" i="17"/>
  <c r="J94" i="17"/>
  <c r="J95" i="17"/>
  <c r="J96" i="17"/>
  <c r="J97" i="17"/>
  <c r="J98" i="17"/>
  <c r="J99" i="17"/>
  <c r="J100" i="17"/>
  <c r="J101" i="17"/>
  <c r="J102" i="17"/>
  <c r="J103" i="17"/>
  <c r="J104" i="17"/>
  <c r="J105" i="17"/>
  <c r="J106" i="17"/>
  <c r="J58" i="17"/>
  <c r="J6" i="17"/>
  <c r="J7" i="17"/>
  <c r="J8" i="17"/>
  <c r="J9" i="17"/>
  <c r="J10" i="17"/>
  <c r="J11" i="17"/>
  <c r="J12" i="17"/>
  <c r="J13" i="17"/>
  <c r="J14" i="17"/>
  <c r="J15" i="17"/>
  <c r="J16" i="17"/>
  <c r="J17" i="17"/>
  <c r="J18" i="17"/>
  <c r="J19" i="17"/>
  <c r="J20" i="17"/>
  <c r="J21" i="17"/>
  <c r="J22" i="17"/>
  <c r="J23" i="17"/>
  <c r="J24" i="17"/>
  <c r="J25" i="17"/>
  <c r="J26" i="17"/>
  <c r="J27" i="17"/>
  <c r="J28" i="17"/>
  <c r="J29" i="17"/>
  <c r="J30" i="17"/>
  <c r="J31" i="17"/>
  <c r="J32" i="17"/>
  <c r="J33" i="17"/>
  <c r="J34" i="17"/>
  <c r="J35" i="17"/>
  <c r="J36" i="17"/>
  <c r="J37" i="17"/>
  <c r="J38" i="17"/>
  <c r="J39" i="17"/>
  <c r="J40" i="17"/>
  <c r="J41" i="17"/>
  <c r="J42" i="17"/>
  <c r="J43" i="17"/>
  <c r="J44" i="17"/>
  <c r="J45" i="17"/>
  <c r="J46" i="17"/>
  <c r="J47" i="17"/>
  <c r="J48" i="17"/>
  <c r="J49" i="17"/>
  <c r="J50" i="17"/>
  <c r="J51" i="17"/>
  <c r="J52" i="17"/>
  <c r="J53" i="17"/>
  <c r="J54" i="17"/>
  <c r="J5" i="17"/>
  <c r="H160" i="17"/>
  <c r="H119" i="17"/>
  <c r="H120" i="17"/>
  <c r="H121" i="17"/>
  <c r="H122" i="17"/>
  <c r="H123" i="17"/>
  <c r="H124" i="17"/>
  <c r="H125" i="17"/>
  <c r="H126" i="17"/>
  <c r="H127" i="17"/>
  <c r="H128" i="17"/>
  <c r="H129" i="17"/>
  <c r="H130" i="17"/>
  <c r="H131" i="17"/>
  <c r="H132" i="17"/>
  <c r="H133" i="17"/>
  <c r="H134" i="17"/>
  <c r="H135" i="17"/>
  <c r="H136" i="17"/>
  <c r="H137" i="17"/>
  <c r="H138" i="17"/>
  <c r="H139" i="17"/>
  <c r="H140" i="17"/>
  <c r="H141" i="17"/>
  <c r="H142" i="17"/>
  <c r="H143" i="17"/>
  <c r="H144" i="17"/>
  <c r="H145" i="17"/>
  <c r="H146" i="17"/>
  <c r="H147" i="17"/>
  <c r="H148" i="17"/>
  <c r="H149" i="17"/>
  <c r="H150" i="17"/>
  <c r="H151" i="17"/>
  <c r="H152" i="17"/>
  <c r="H153" i="17"/>
  <c r="H154" i="17"/>
  <c r="H155" i="17"/>
  <c r="H156" i="17"/>
  <c r="H157" i="17"/>
  <c r="H158" i="17"/>
  <c r="H159" i="17"/>
  <c r="H116" i="17"/>
  <c r="H112" i="17"/>
  <c r="H113" i="17"/>
  <c r="H114" i="17"/>
  <c r="H115" i="17"/>
  <c r="H117" i="17"/>
  <c r="H118" i="17"/>
  <c r="H111" i="17"/>
  <c r="H59" i="17"/>
  <c r="H60" i="17"/>
  <c r="H61" i="17"/>
  <c r="H62" i="17"/>
  <c r="H63" i="17"/>
  <c r="H64" i="17"/>
  <c r="H65" i="17"/>
  <c r="H66" i="17"/>
  <c r="H67" i="17"/>
  <c r="H68" i="17"/>
  <c r="H69" i="17"/>
  <c r="H70" i="17"/>
  <c r="H71" i="17"/>
  <c r="H72" i="17"/>
  <c r="H73" i="17"/>
  <c r="H74" i="17"/>
  <c r="H75" i="17"/>
  <c r="H76" i="17"/>
  <c r="H77" i="17"/>
  <c r="H78" i="17"/>
  <c r="H79" i="17"/>
  <c r="H80" i="17"/>
  <c r="H81" i="17"/>
  <c r="H82" i="17"/>
  <c r="H83" i="17"/>
  <c r="H84" i="17"/>
  <c r="H85" i="17"/>
  <c r="H86" i="17"/>
  <c r="H87" i="17"/>
  <c r="H88" i="17"/>
  <c r="H89" i="17"/>
  <c r="H90" i="17"/>
  <c r="H91" i="17"/>
  <c r="H92" i="17"/>
  <c r="H93" i="17"/>
  <c r="H94" i="17"/>
  <c r="H95" i="17"/>
  <c r="H96" i="17"/>
  <c r="H97" i="17"/>
  <c r="H98" i="17"/>
  <c r="H99" i="17"/>
  <c r="H100" i="17"/>
  <c r="H101" i="17"/>
  <c r="H102" i="17"/>
  <c r="H103" i="17"/>
  <c r="H104" i="17"/>
  <c r="H105" i="17"/>
  <c r="H106" i="17"/>
  <c r="H107" i="17"/>
  <c r="H58" i="17"/>
  <c r="H6" i="17"/>
  <c r="H7" i="17"/>
  <c r="H8" i="17"/>
  <c r="H9" i="17"/>
  <c r="H10" i="17"/>
  <c r="H11" i="17"/>
  <c r="H12" i="17"/>
  <c r="H13" i="17"/>
  <c r="H14" i="17"/>
  <c r="H15" i="17"/>
  <c r="H16" i="17"/>
  <c r="H17" i="17"/>
  <c r="H18" i="17"/>
  <c r="H19" i="17"/>
  <c r="H20" i="17"/>
  <c r="H21" i="17"/>
  <c r="H22" i="17"/>
  <c r="H23" i="17"/>
  <c r="H24" i="17"/>
  <c r="H25" i="17"/>
  <c r="H26" i="17"/>
  <c r="H27" i="17"/>
  <c r="H28" i="17"/>
  <c r="H29" i="17"/>
  <c r="H30" i="17"/>
  <c r="H31" i="17"/>
  <c r="H32" i="17"/>
  <c r="H33" i="17"/>
  <c r="H34" i="17"/>
  <c r="H35" i="17"/>
  <c r="H36" i="17"/>
  <c r="H37" i="17"/>
  <c r="H38" i="17"/>
  <c r="H39" i="17"/>
  <c r="H40" i="17"/>
  <c r="H41" i="17"/>
  <c r="H42" i="17"/>
  <c r="H43" i="17"/>
  <c r="H44" i="17"/>
  <c r="H45" i="17"/>
  <c r="H46" i="17"/>
  <c r="H47" i="17"/>
  <c r="H48" i="17"/>
  <c r="H49" i="17"/>
  <c r="H50" i="17"/>
  <c r="H51" i="17"/>
  <c r="H52" i="17"/>
  <c r="H53" i="17"/>
  <c r="H54" i="17"/>
  <c r="H5" i="17"/>
  <c r="F115" i="17"/>
  <c r="F112" i="17"/>
  <c r="F113" i="17"/>
  <c r="F114" i="17"/>
  <c r="F116" i="17"/>
  <c r="F117" i="17"/>
  <c r="F118" i="17"/>
  <c r="F119" i="17"/>
  <c r="F120" i="17"/>
  <c r="F121" i="17"/>
  <c r="F122" i="17"/>
  <c r="F123" i="17"/>
  <c r="F124" i="17"/>
  <c r="F125" i="17"/>
  <c r="F126" i="17"/>
  <c r="F127" i="17"/>
  <c r="F128" i="17"/>
  <c r="F129" i="17"/>
  <c r="F130" i="17"/>
  <c r="F131" i="17"/>
  <c r="F132" i="17"/>
  <c r="F133" i="17"/>
  <c r="F134" i="17"/>
  <c r="F135" i="17"/>
  <c r="F136" i="17"/>
  <c r="F137" i="17"/>
  <c r="F138" i="17"/>
  <c r="F139" i="17"/>
  <c r="F140" i="17"/>
  <c r="F141" i="17"/>
  <c r="F142" i="17"/>
  <c r="F143" i="17"/>
  <c r="F144" i="17"/>
  <c r="F145" i="17"/>
  <c r="F146" i="17"/>
  <c r="F147" i="17"/>
  <c r="F148" i="17"/>
  <c r="F149" i="17"/>
  <c r="F150" i="17"/>
  <c r="F151" i="17"/>
  <c r="F152" i="17"/>
  <c r="F153" i="17"/>
  <c r="F154" i="17"/>
  <c r="F155" i="17"/>
  <c r="F156" i="17"/>
  <c r="F157" i="17"/>
  <c r="F158" i="17"/>
  <c r="F159" i="17"/>
  <c r="F160" i="17"/>
  <c r="F111" i="17"/>
  <c r="F59" i="17"/>
  <c r="F60" i="17"/>
  <c r="F61" i="17"/>
  <c r="F62" i="17"/>
  <c r="F63" i="17"/>
  <c r="F64" i="17"/>
  <c r="F65" i="17"/>
  <c r="F66" i="17"/>
  <c r="F67" i="17"/>
  <c r="F68" i="17"/>
  <c r="F69" i="17"/>
  <c r="F70" i="17"/>
  <c r="F71" i="17"/>
  <c r="F72" i="17"/>
  <c r="F73" i="17"/>
  <c r="F74" i="17"/>
  <c r="F75" i="17"/>
  <c r="F76" i="17"/>
  <c r="F77" i="17"/>
  <c r="F78" i="17"/>
  <c r="F79" i="17"/>
  <c r="F80" i="17"/>
  <c r="F81" i="17"/>
  <c r="F82" i="17"/>
  <c r="F83" i="17"/>
  <c r="F84" i="17"/>
  <c r="F85" i="17"/>
  <c r="F86" i="17"/>
  <c r="F87" i="17"/>
  <c r="F88" i="17"/>
  <c r="F89" i="17"/>
  <c r="F90" i="17"/>
  <c r="F91" i="17"/>
  <c r="F92" i="17"/>
  <c r="F93" i="17"/>
  <c r="F94" i="17"/>
  <c r="F95" i="17"/>
  <c r="F96" i="17"/>
  <c r="F97" i="17"/>
  <c r="F98" i="17"/>
  <c r="F99" i="17"/>
  <c r="F100" i="17"/>
  <c r="F101" i="17"/>
  <c r="F102" i="17"/>
  <c r="F103" i="17"/>
  <c r="F104" i="17"/>
  <c r="F105" i="17"/>
  <c r="F106" i="17"/>
  <c r="F107" i="17"/>
  <c r="F58" i="17"/>
  <c r="F6" i="17"/>
  <c r="F7" i="17"/>
  <c r="F8" i="17"/>
  <c r="F9" i="17"/>
  <c r="F10" i="17"/>
  <c r="F11" i="17"/>
  <c r="F12" i="17"/>
  <c r="F13" i="17"/>
  <c r="F14" i="17"/>
  <c r="F15" i="17"/>
  <c r="F16" i="17"/>
  <c r="F17" i="17"/>
  <c r="F18" i="17"/>
  <c r="F19" i="17"/>
  <c r="F20" i="17"/>
  <c r="F21" i="17"/>
  <c r="F22" i="17"/>
  <c r="F23" i="17"/>
  <c r="F24" i="17"/>
  <c r="F25" i="17"/>
  <c r="F26" i="17"/>
  <c r="F27" i="17"/>
  <c r="F28" i="17"/>
  <c r="F29" i="17"/>
  <c r="F30" i="17"/>
  <c r="F31" i="17"/>
  <c r="F32" i="17"/>
  <c r="F33" i="17"/>
  <c r="F34" i="17"/>
  <c r="F35" i="17"/>
  <c r="F36" i="17"/>
  <c r="F37" i="17"/>
  <c r="F38" i="17"/>
  <c r="F39" i="17"/>
  <c r="F40" i="17"/>
  <c r="F41" i="17"/>
  <c r="F42" i="17"/>
  <c r="F43" i="17"/>
  <c r="F44" i="17"/>
  <c r="F45" i="17"/>
  <c r="F46" i="17"/>
  <c r="F47" i="17"/>
  <c r="F48" i="17"/>
  <c r="F49" i="17"/>
  <c r="F50" i="17"/>
  <c r="F51" i="17"/>
  <c r="F52" i="17"/>
  <c r="F53" i="17"/>
  <c r="F54" i="17"/>
  <c r="F5" i="17"/>
  <c r="D112" i="17"/>
  <c r="D113" i="17"/>
  <c r="D114" i="17"/>
  <c r="D115" i="17"/>
  <c r="D116" i="17"/>
  <c r="D117" i="17"/>
  <c r="D118" i="17"/>
  <c r="D119" i="17"/>
  <c r="D120" i="17"/>
  <c r="D121" i="17"/>
  <c r="D122" i="17"/>
  <c r="D123" i="17"/>
  <c r="D124" i="17"/>
  <c r="D125" i="17"/>
  <c r="D126" i="17"/>
  <c r="D127" i="17"/>
  <c r="D128" i="17"/>
  <c r="D129" i="17"/>
  <c r="D130" i="17"/>
  <c r="D131" i="17"/>
  <c r="D132" i="17"/>
  <c r="D133" i="17"/>
  <c r="D134" i="17"/>
  <c r="D135" i="17"/>
  <c r="D136" i="17"/>
  <c r="D137" i="17"/>
  <c r="D138" i="17"/>
  <c r="D139" i="17"/>
  <c r="D140" i="17"/>
  <c r="D141" i="17"/>
  <c r="D142" i="17"/>
  <c r="D143" i="17"/>
  <c r="D144" i="17"/>
  <c r="D145" i="17"/>
  <c r="D146" i="17"/>
  <c r="D147" i="17"/>
  <c r="D148" i="17"/>
  <c r="D149" i="17"/>
  <c r="D150" i="17"/>
  <c r="D151" i="17"/>
  <c r="D152" i="17"/>
  <c r="D153" i="17"/>
  <c r="D154" i="17"/>
  <c r="D155" i="17"/>
  <c r="D156" i="17"/>
  <c r="D157" i="17"/>
  <c r="D158" i="17"/>
  <c r="D159" i="17"/>
  <c r="D160" i="17"/>
  <c r="D111" i="17"/>
  <c r="D67" i="17"/>
  <c r="D64" i="17"/>
  <c r="D59" i="17"/>
  <c r="D60" i="17"/>
  <c r="D61" i="17"/>
  <c r="D62" i="17"/>
  <c r="D63" i="17"/>
  <c r="D65" i="17"/>
  <c r="D66" i="17"/>
  <c r="D68" i="17"/>
  <c r="D69" i="17"/>
  <c r="D70" i="17"/>
  <c r="D71" i="17"/>
  <c r="D72" i="17"/>
  <c r="D73" i="17"/>
  <c r="D74" i="17"/>
  <c r="D75" i="17"/>
  <c r="D76" i="17"/>
  <c r="D77" i="17"/>
  <c r="D78" i="17"/>
  <c r="D79" i="17"/>
  <c r="D80" i="17"/>
  <c r="D81" i="17"/>
  <c r="D82" i="17"/>
  <c r="D83" i="17"/>
  <c r="D84" i="17"/>
  <c r="D85" i="17"/>
  <c r="D86" i="17"/>
  <c r="D87" i="17"/>
  <c r="D88" i="17"/>
  <c r="D89" i="17"/>
  <c r="D90" i="17"/>
  <c r="D91" i="17"/>
  <c r="D92" i="17"/>
  <c r="D93" i="17"/>
  <c r="D94" i="17"/>
  <c r="D95" i="17"/>
  <c r="D96" i="17"/>
  <c r="D97" i="17"/>
  <c r="D98" i="17"/>
  <c r="D99" i="17"/>
  <c r="D100" i="17"/>
  <c r="D101" i="17"/>
  <c r="D102" i="17"/>
  <c r="D103" i="17"/>
  <c r="D104" i="17"/>
  <c r="D105" i="17"/>
  <c r="D106" i="17"/>
  <c r="D107" i="17"/>
  <c r="D58" i="17"/>
  <c r="D6" i="17"/>
  <c r="D7" i="17"/>
  <c r="D8" i="17"/>
  <c r="D9" i="17"/>
  <c r="D10" i="17"/>
  <c r="D11" i="17"/>
  <c r="D12" i="17"/>
  <c r="D13" i="17"/>
  <c r="D14" i="17"/>
  <c r="D15" i="17"/>
  <c r="D16" i="17"/>
  <c r="D17" i="17"/>
  <c r="D18" i="17"/>
  <c r="D19" i="17"/>
  <c r="D20" i="17"/>
  <c r="D21" i="17"/>
  <c r="D22" i="17"/>
  <c r="D23" i="17"/>
  <c r="D24" i="17"/>
  <c r="D25" i="17"/>
  <c r="D26" i="17"/>
  <c r="D27" i="17"/>
  <c r="D28" i="17"/>
  <c r="D29" i="17"/>
  <c r="D30" i="17"/>
  <c r="D31" i="17"/>
  <c r="D32" i="17"/>
  <c r="D33" i="17"/>
  <c r="D34" i="17"/>
  <c r="D35" i="17"/>
  <c r="D36" i="17"/>
  <c r="D37" i="17"/>
  <c r="D38" i="17"/>
  <c r="D39" i="17"/>
  <c r="D40" i="17"/>
  <c r="D41" i="17"/>
  <c r="D42" i="17"/>
  <c r="D43" i="17"/>
  <c r="D44" i="17"/>
  <c r="D45" i="17"/>
  <c r="D46" i="17"/>
  <c r="D47" i="17"/>
  <c r="D48" i="17"/>
  <c r="D49" i="17"/>
  <c r="D50" i="17"/>
  <c r="D51" i="17"/>
  <c r="D52" i="17"/>
  <c r="D53" i="17"/>
  <c r="D54" i="17"/>
  <c r="B116" i="17"/>
  <c r="B112" i="17"/>
  <c r="B113" i="17"/>
  <c r="B114" i="17"/>
  <c r="B115" i="17"/>
  <c r="B117" i="17"/>
  <c r="B118" i="17"/>
  <c r="B119" i="17"/>
  <c r="B120" i="17"/>
  <c r="B121" i="17"/>
  <c r="B122" i="17"/>
  <c r="B123" i="17"/>
  <c r="B124" i="17"/>
  <c r="B125" i="17"/>
  <c r="B126" i="17"/>
  <c r="B127" i="17"/>
  <c r="B128" i="17"/>
  <c r="B129" i="17"/>
  <c r="B130" i="17"/>
  <c r="B131" i="17"/>
  <c r="B132" i="17"/>
  <c r="B133" i="17"/>
  <c r="B134" i="17"/>
  <c r="B135" i="17"/>
  <c r="B136" i="17"/>
  <c r="B137" i="17"/>
  <c r="B138" i="17"/>
  <c r="B139" i="17"/>
  <c r="B140" i="17"/>
  <c r="B141" i="17"/>
  <c r="B142" i="17"/>
  <c r="B143" i="17"/>
  <c r="B144" i="17"/>
  <c r="B145" i="17"/>
  <c r="B146" i="17"/>
  <c r="B147" i="17"/>
  <c r="B148" i="17"/>
  <c r="B149" i="17"/>
  <c r="B150" i="17"/>
  <c r="B151" i="17"/>
  <c r="B152" i="17"/>
  <c r="B153" i="17"/>
  <c r="B154" i="17"/>
  <c r="B155" i="17"/>
  <c r="B156" i="17"/>
  <c r="B157" i="17"/>
  <c r="B158" i="17"/>
  <c r="B159" i="17"/>
  <c r="B160" i="17"/>
  <c r="B111" i="17"/>
  <c r="B65" i="17"/>
  <c r="B66" i="17"/>
  <c r="B67" i="17"/>
  <c r="B68" i="17"/>
  <c r="B69" i="17"/>
  <c r="B70" i="17"/>
  <c r="B71" i="17"/>
  <c r="B72" i="17"/>
  <c r="B73" i="17"/>
  <c r="B74" i="17"/>
  <c r="B75" i="17"/>
  <c r="B76" i="17"/>
  <c r="B77" i="17"/>
  <c r="B78" i="17"/>
  <c r="B79" i="17"/>
  <c r="B80" i="17"/>
  <c r="B81" i="17"/>
  <c r="B82" i="17"/>
  <c r="B83" i="17"/>
  <c r="B84" i="17"/>
  <c r="B85" i="17"/>
  <c r="B86" i="17"/>
  <c r="B87" i="17"/>
  <c r="B88" i="17"/>
  <c r="B89" i="17"/>
  <c r="B90" i="17"/>
  <c r="B91" i="17"/>
  <c r="B92" i="17"/>
  <c r="B93" i="17"/>
  <c r="B94" i="17"/>
  <c r="B95" i="17"/>
  <c r="B96" i="17"/>
  <c r="B97" i="17"/>
  <c r="B98" i="17"/>
  <c r="B99" i="17"/>
  <c r="B100" i="17"/>
  <c r="B101" i="17"/>
  <c r="B102" i="17"/>
  <c r="B103" i="17"/>
  <c r="B104" i="17"/>
  <c r="B105" i="17"/>
  <c r="B106" i="17"/>
  <c r="B107" i="17"/>
  <c r="B64" i="17"/>
  <c r="B59" i="17"/>
  <c r="B60" i="17"/>
  <c r="B61" i="17"/>
  <c r="B62" i="17"/>
  <c r="B63" i="17"/>
  <c r="B58" i="17"/>
  <c r="B10" i="17"/>
  <c r="B7" i="17"/>
  <c r="B6" i="17"/>
  <c r="B8" i="17"/>
  <c r="B9" i="17"/>
  <c r="B11" i="17"/>
  <c r="B12" i="17"/>
  <c r="B13" i="17"/>
  <c r="B14" i="17"/>
  <c r="B15" i="17"/>
  <c r="B16" i="17"/>
  <c r="B17" i="17"/>
  <c r="B18" i="17"/>
  <c r="B19" i="17"/>
  <c r="B20" i="17"/>
  <c r="B21" i="17"/>
  <c r="B22" i="17"/>
  <c r="B23" i="17"/>
  <c r="B24" i="17"/>
  <c r="B25" i="17"/>
  <c r="B26" i="17"/>
  <c r="B27" i="17"/>
  <c r="B28" i="17"/>
  <c r="B29" i="17"/>
  <c r="B30" i="17"/>
  <c r="B31" i="17"/>
  <c r="B32" i="17"/>
  <c r="B33" i="17"/>
  <c r="B34" i="17"/>
  <c r="B35" i="17"/>
  <c r="B36" i="17"/>
  <c r="B37" i="17"/>
  <c r="B38" i="17"/>
  <c r="B39" i="17"/>
  <c r="B40" i="17"/>
  <c r="B41" i="17"/>
  <c r="B42" i="17"/>
  <c r="B43" i="17"/>
  <c r="B44" i="17"/>
  <c r="B45" i="17"/>
  <c r="B46" i="17"/>
  <c r="B47" i="17"/>
  <c r="B48" i="17"/>
  <c r="B49" i="17"/>
  <c r="B50" i="17"/>
  <c r="B51" i="17"/>
  <c r="B52" i="17"/>
  <c r="B53" i="17"/>
  <c r="B54" i="17"/>
  <c r="G38" i="13"/>
  <c r="G37" i="13"/>
  <c r="G36" i="13"/>
  <c r="E36" i="13"/>
  <c r="L32" i="13"/>
  <c r="L33" i="13"/>
  <c r="L34" i="13"/>
  <c r="D116" i="13"/>
  <c r="F116" i="13"/>
  <c r="G116" i="13"/>
  <c r="H116" i="13"/>
  <c r="I116" i="13"/>
  <c r="K116" i="13"/>
  <c r="M116" i="13"/>
  <c r="O116" i="13"/>
  <c r="P116" i="13"/>
  <c r="Q116" i="13"/>
  <c r="R116" i="13"/>
  <c r="T98" i="13"/>
  <c r="T99" i="13"/>
  <c r="T100" i="13"/>
  <c r="T102" i="13"/>
  <c r="T103" i="13"/>
  <c r="T104" i="13"/>
  <c r="T106" i="13"/>
  <c r="T107" i="13"/>
  <c r="T108" i="13"/>
  <c r="T110" i="13"/>
  <c r="T111" i="13"/>
  <c r="T112" i="13"/>
  <c r="T116" i="13"/>
  <c r="B116" i="13"/>
  <c r="D115" i="13"/>
  <c r="F115" i="13"/>
  <c r="G115" i="13"/>
  <c r="H115" i="13"/>
  <c r="I115" i="13"/>
  <c r="K115" i="13"/>
  <c r="M115" i="13"/>
  <c r="O115" i="13"/>
  <c r="P115" i="13"/>
  <c r="Q115" i="13"/>
  <c r="R115" i="13"/>
  <c r="T82" i="13"/>
  <c r="T83" i="13"/>
  <c r="T84" i="13"/>
  <c r="T86" i="13"/>
  <c r="T87" i="13"/>
  <c r="T88" i="13"/>
  <c r="T90" i="13"/>
  <c r="T91" i="13"/>
  <c r="T92" i="13"/>
  <c r="T94" i="13"/>
  <c r="T95" i="13"/>
  <c r="T96" i="13"/>
  <c r="T115" i="13"/>
  <c r="B115" i="13"/>
  <c r="D114" i="13"/>
  <c r="F114" i="13"/>
  <c r="G114" i="13"/>
  <c r="H114" i="13"/>
  <c r="I114" i="13"/>
  <c r="K114" i="13"/>
  <c r="M114" i="13"/>
  <c r="O114" i="13"/>
  <c r="P114" i="13"/>
  <c r="Q114" i="13"/>
  <c r="R114" i="13"/>
  <c r="T114" i="13"/>
  <c r="C38" i="13"/>
  <c r="D38" i="13"/>
  <c r="E38" i="13"/>
  <c r="H38" i="13"/>
  <c r="I38" i="13"/>
  <c r="J38" i="13"/>
  <c r="L20" i="13"/>
  <c r="L21" i="13"/>
  <c r="L22" i="13"/>
  <c r="L24" i="13"/>
  <c r="L25" i="13"/>
  <c r="L26" i="13"/>
  <c r="L28" i="13"/>
  <c r="L29" i="13"/>
  <c r="L30" i="13"/>
  <c r="L38" i="13"/>
  <c r="B38" i="13"/>
  <c r="C37" i="13"/>
  <c r="D37" i="13"/>
  <c r="E37" i="13"/>
  <c r="H37" i="13"/>
  <c r="I37" i="13"/>
  <c r="J37" i="13"/>
  <c r="L4" i="13"/>
  <c r="L5" i="13"/>
  <c r="L6" i="13"/>
  <c r="L8" i="13"/>
  <c r="L9" i="13"/>
  <c r="L10" i="13"/>
  <c r="L12" i="13"/>
  <c r="L13" i="13"/>
  <c r="L14" i="13"/>
  <c r="L16" i="13"/>
  <c r="L17" i="13"/>
  <c r="L18" i="13"/>
  <c r="L37" i="13"/>
  <c r="B37" i="13"/>
  <c r="B36" i="13"/>
  <c r="C36" i="13"/>
  <c r="D36" i="13"/>
  <c r="H36" i="13"/>
  <c r="I36" i="13"/>
  <c r="J36" i="13"/>
  <c r="L36" i="13"/>
  <c r="C77" i="13"/>
  <c r="D77" i="13"/>
  <c r="E77" i="13"/>
  <c r="G77" i="13"/>
  <c r="H77" i="13"/>
  <c r="I77" i="13"/>
  <c r="J77" i="13"/>
  <c r="L59" i="13"/>
  <c r="L60" i="13"/>
  <c r="L61" i="13"/>
  <c r="L63" i="13"/>
  <c r="L64" i="13"/>
  <c r="L65" i="13"/>
  <c r="L67" i="13"/>
  <c r="L68" i="13"/>
  <c r="L69" i="13"/>
  <c r="L71" i="13"/>
  <c r="L72" i="13"/>
  <c r="L73" i="13"/>
  <c r="L77" i="13"/>
  <c r="B77" i="13"/>
  <c r="C76" i="13"/>
  <c r="D76" i="13"/>
  <c r="E76" i="13"/>
  <c r="G76" i="13"/>
  <c r="H76" i="13"/>
  <c r="I76" i="13"/>
  <c r="J76" i="13"/>
  <c r="L43" i="13"/>
  <c r="L44" i="13"/>
  <c r="L45" i="13"/>
  <c r="L47" i="13"/>
  <c r="L48" i="13"/>
  <c r="L49" i="13"/>
  <c r="L51" i="13"/>
  <c r="L52" i="13"/>
  <c r="L53" i="13"/>
  <c r="L55" i="13"/>
  <c r="L56" i="13"/>
  <c r="L57" i="13"/>
  <c r="L76" i="13"/>
  <c r="B76" i="13"/>
  <c r="G75" i="13"/>
  <c r="H75" i="13"/>
  <c r="I75" i="13"/>
  <c r="D75" i="13"/>
  <c r="C75" i="13"/>
  <c r="B75" i="13"/>
  <c r="E75" i="13"/>
  <c r="L75" i="13"/>
  <c r="J75" i="13"/>
  <c r="B114" i="13"/>
  <c r="K43" i="12"/>
  <c r="B43" i="12"/>
  <c r="P43" i="12"/>
  <c r="G43" i="12"/>
  <c r="T4" i="12"/>
  <c r="T5" i="12"/>
  <c r="T6" i="12"/>
  <c r="T9" i="12"/>
  <c r="T10" i="12"/>
  <c r="T11" i="12"/>
  <c r="T14" i="12"/>
  <c r="T15" i="12"/>
  <c r="T16" i="12"/>
  <c r="T19" i="12"/>
  <c r="T20" i="12"/>
  <c r="T21" i="12"/>
  <c r="T24" i="12"/>
  <c r="T25" i="12"/>
  <c r="T26" i="12"/>
  <c r="T29" i="12"/>
  <c r="T30" i="12"/>
  <c r="T31" i="12"/>
  <c r="T34" i="12"/>
  <c r="T35" i="12"/>
  <c r="T36" i="12"/>
  <c r="T39" i="12"/>
  <c r="T40" i="12"/>
  <c r="T41" i="12"/>
  <c r="T43" i="12"/>
</calcChain>
</file>

<file path=xl/sharedStrings.xml><?xml version="1.0" encoding="utf-8"?>
<sst xmlns="http://schemas.openxmlformats.org/spreadsheetml/2006/main" count="615" uniqueCount="146">
  <si>
    <t>duration</t>
  </si>
  <si>
    <t>Face</t>
  </si>
  <si>
    <t>Person 1</t>
  </si>
  <si>
    <t>Person 2</t>
  </si>
  <si>
    <t>Person 3</t>
  </si>
  <si>
    <t>Person 5</t>
  </si>
  <si>
    <t>Person 6</t>
  </si>
  <si>
    <t>Person 7</t>
  </si>
  <si>
    <t>Person 8</t>
  </si>
  <si>
    <t>Face 1-50 F</t>
  </si>
  <si>
    <t>Face 51-100 H</t>
  </si>
  <si>
    <t>Face 101-150 A</t>
  </si>
  <si>
    <t>Person 4</t>
  </si>
  <si>
    <t>a (slope)</t>
  </si>
  <si>
    <t>b (y int)</t>
  </si>
  <si>
    <t>SSE</t>
  </si>
  <si>
    <t>R^2</t>
  </si>
  <si>
    <t>AR^2</t>
  </si>
  <si>
    <t>RMSE</t>
  </si>
  <si>
    <t>Linear fit</t>
  </si>
  <si>
    <t>Log fit</t>
  </si>
  <si>
    <t>0.1226, 0.1567</t>
  </si>
  <si>
    <t xml:space="preserve">a 95 CI </t>
  </si>
  <si>
    <t>b 95 CI</t>
  </si>
  <si>
    <t>0.69, 1.699</t>
  </si>
  <si>
    <t>a 95 CI</t>
  </si>
  <si>
    <t>0.1045, 0.1363</t>
  </si>
  <si>
    <t>1.022, 1.899</t>
  </si>
  <si>
    <t>0.116, 0.1454</t>
  </si>
  <si>
    <t>1.156, 1.962</t>
  </si>
  <si>
    <t>b (shift)</t>
  </si>
  <si>
    <t>0.1148, 0.149</t>
  </si>
  <si>
    <t>0.4575, 1.452</t>
  </si>
  <si>
    <t>0.07234, 0.1026</t>
  </si>
  <si>
    <t>1.159, 2.11</t>
  </si>
  <si>
    <t>0.1268, 0.1624</t>
  </si>
  <si>
    <t>0.9851, 2.012</t>
  </si>
  <si>
    <t>0.09093, 0.1265</t>
  </si>
  <si>
    <t>1.115, 2.172</t>
  </si>
  <si>
    <t>0.08043, 0.1151</t>
  </si>
  <si>
    <t>0.9299, 1.887</t>
  </si>
  <si>
    <t>0.07613, 0.1066</t>
  </si>
  <si>
    <t>1.362, 2.278</t>
  </si>
  <si>
    <t>0.101, 0.136</t>
  </si>
  <si>
    <t>1.098, 2.114</t>
  </si>
  <si>
    <t>0.08457, 0.1197</t>
  </si>
  <si>
    <t>0.9385, 1.993</t>
  </si>
  <si>
    <t>0.07379, 0.1105</t>
  </si>
  <si>
    <t>0.8341, 1.931</t>
  </si>
  <si>
    <t>0.09779, 0.1263</t>
  </si>
  <si>
    <t>1.451, 2.276</t>
  </si>
  <si>
    <t>0.08038, 0.1141</t>
  </si>
  <si>
    <t>1.559, 2.602</t>
  </si>
  <si>
    <t>0.1052, 0.1371</t>
  </si>
  <si>
    <t>2.231, 3.242</t>
  </si>
  <si>
    <t>0.1135, 0.1509</t>
  </si>
  <si>
    <t>1.179, 2.294</t>
  </si>
  <si>
    <t>0.09773, 0.1359</t>
  </si>
  <si>
    <t>1.393, 2.437</t>
  </si>
  <si>
    <t>0.126, 0.1621</t>
  </si>
  <si>
    <t>1.652, 2.686</t>
  </si>
  <si>
    <t>0.1091, 0.141</t>
  </si>
  <si>
    <t>1.458, 2.439</t>
  </si>
  <si>
    <t>0.07827, 0.1119</t>
  </si>
  <si>
    <t>1.265, 2.321</t>
  </si>
  <si>
    <t>0.09964, 0.1321</t>
  </si>
  <si>
    <t>1.256, 2.197</t>
  </si>
  <si>
    <t>0.05395, 0.09515</t>
  </si>
  <si>
    <t>1.314, 2.577</t>
  </si>
  <si>
    <t>0.08183, 0.1193</t>
  </si>
  <si>
    <t>0.9344, 2.05</t>
  </si>
  <si>
    <t>0.07807, 0.1109</t>
  </si>
  <si>
    <t>1.974, 2.937</t>
  </si>
  <si>
    <t>0.08296, 0.1101</t>
  </si>
  <si>
    <t>-0.8929, -0.8641</t>
  </si>
  <si>
    <t>0.0844, 0.1089</t>
  </si>
  <si>
    <t>-0.8834, -0.8526</t>
  </si>
  <si>
    <t>Linear R^2 - Log R^2</t>
  </si>
  <si>
    <t>0.1091, 0.1393</t>
  </si>
  <si>
    <t>-0.8705, -0.8501</t>
  </si>
  <si>
    <t>0.06405, 0.08674</t>
  </si>
  <si>
    <t>-0.9176, -0.8731</t>
  </si>
  <si>
    <t>0.07253, 0.105</t>
  </si>
  <si>
    <t>-0.863, -0.8177</t>
  </si>
  <si>
    <t>0.1004, 0.1286</t>
  </si>
  <si>
    <t>-0.8854, -0.8639</t>
  </si>
  <si>
    <t>0.08788, 0.1251</t>
  </si>
  <si>
    <t>-0.87, -0.837</t>
  </si>
  <si>
    <t>0.0732, 0.106</t>
  </si>
  <si>
    <t>-0.8725, -0.8208</t>
  </si>
  <si>
    <t>0.1025, 0.1409</t>
  </si>
  <si>
    <t>-0.8423, -0.8142</t>
  </si>
  <si>
    <t>0.09219, 0.1233</t>
  </si>
  <si>
    <t>-0.8746, -0.8457</t>
  </si>
  <si>
    <t>0.07884, 0.1149</t>
  </si>
  <si>
    <t>-0.866, -0.8236</t>
  </si>
  <si>
    <t>0.075, 0.117</t>
  </si>
  <si>
    <t>-0.8566, -0.8067</t>
  </si>
  <si>
    <t>0.0862, 0.1149</t>
  </si>
  <si>
    <t>-0.881, -0.852</t>
  </si>
  <si>
    <t>0.0905, 0.1256</t>
  </si>
  <si>
    <t>-0.8664, -0.8354</t>
  </si>
  <si>
    <t>0.1254, 0.1606</t>
  </si>
  <si>
    <t>-0.8815, -0.8665</t>
  </si>
  <si>
    <t>0.08294, 0.11</t>
  </si>
  <si>
    <t>-0.8995, -0.8694</t>
  </si>
  <si>
    <t>0.1007, 0.133</t>
  </si>
  <si>
    <t>-0.8743, -0.8458</t>
  </si>
  <si>
    <t>0.1046, 0.1313</t>
  </si>
  <si>
    <t>-0.8951, -0.8756</t>
  </si>
  <si>
    <t>0.1129, 0.1463</t>
  </si>
  <si>
    <t>-0.8746, -0.8566</t>
  </si>
  <si>
    <t>0.07983, 0.1151</t>
  </si>
  <si>
    <t>-0.8671, -0.8287</t>
  </si>
  <si>
    <t>0.08581, 0.116</t>
  </si>
  <si>
    <t>-0.8813, -0.8499</t>
  </si>
  <si>
    <t>0.06664, 0.1146</t>
  </si>
  <si>
    <t>-0.8659, -0.8</t>
  </si>
  <si>
    <t>0.07488, 0.1095</t>
  </si>
  <si>
    <t>-0.8728, -0.8245</t>
  </si>
  <si>
    <t>0.1242, 0.1687</t>
  </si>
  <si>
    <t>-0.8545, -0.8317</t>
  </si>
  <si>
    <t>AVG</t>
  </si>
  <si>
    <t>White AVG</t>
  </si>
  <si>
    <t>Black AVG</t>
  </si>
  <si>
    <t>1 second</t>
  </si>
  <si>
    <t>.5 second</t>
  </si>
  <si>
    <t xml:space="preserve">across </t>
  </si>
  <si>
    <t>F</t>
  </si>
  <si>
    <t>Note:  outlier removed (subj: KG block: 3 order: 19 response: 9 face: 8 person: 8 duration: .5)</t>
  </si>
  <si>
    <t>E</t>
  </si>
  <si>
    <t>G</t>
  </si>
  <si>
    <t>H</t>
  </si>
  <si>
    <t>Vals</t>
  </si>
  <si>
    <t>a</t>
  </si>
  <si>
    <t>b</t>
  </si>
  <si>
    <t>.5 Duration</t>
  </si>
  <si>
    <t>1 Duration</t>
  </si>
  <si>
    <t>Person A (1)</t>
  </si>
  <si>
    <t>Person B (2)</t>
  </si>
  <si>
    <t>Person C (3)</t>
  </si>
  <si>
    <t>Person D (4)</t>
  </si>
  <si>
    <t>Person E (5)</t>
  </si>
  <si>
    <t>Person F (6)</t>
  </si>
  <si>
    <t>Person G (7)</t>
  </si>
  <si>
    <t>Person H (8)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</si>
</sst>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000"/>
  </numFmts>
  <fonts count="4" x14ac:knownFonts="1">
    <font>
      <sz val="12"/>
      <color theme="1"/>
      <name val="新細明體"/>
      <family val="2"/>
      <scheme val="minor"/>
    </font>
    <font>
      <b/>
      <sz val="12"/>
      <color theme="1"/>
      <name val="新細明體"/>
      <family val="2"/>
      <scheme val="minor"/>
    </font>
    <font>
      <i/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6"/>
        <bgColor indexed="64"/>
      </patternFill>
    </fill>
  </fills>
  <borders count="13">
    <border>
      <left/>
      <right/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ck">
        <color auto="1"/>
      </top>
      <bottom/>
      <diagonal/>
    </border>
    <border>
      <left/>
      <right style="thin">
        <color auto="1"/>
      </right>
      <top style="thick">
        <color auto="1"/>
      </top>
      <bottom/>
      <diagonal/>
    </border>
  </borders>
  <cellStyleXfs count="1">
    <xf numFmtId="0" fontId="0" fillId="0" borderId="0"/>
  </cellStyleXfs>
  <cellXfs count="50">
    <xf numFmtId="0" fontId="0" fillId="0" borderId="0" xfId="0"/>
    <xf numFmtId="0" fontId="1" fillId="0" borderId="0" xfId="0" applyFont="1"/>
    <xf numFmtId="0" fontId="1" fillId="0" borderId="0" xfId="0" applyFont="1" applyFill="1"/>
    <xf numFmtId="0" fontId="0" fillId="4" borderId="0" xfId="0" applyFill="1"/>
    <xf numFmtId="0" fontId="0" fillId="5" borderId="0" xfId="0" applyFill="1"/>
    <xf numFmtId="0" fontId="0" fillId="3" borderId="0" xfId="0" applyFill="1"/>
    <xf numFmtId="0" fontId="0" fillId="2" borderId="0" xfId="0" applyFill="1"/>
    <xf numFmtId="0" fontId="0" fillId="0" borderId="0" xfId="0" applyFill="1"/>
    <xf numFmtId="176" fontId="0" fillId="0" borderId="0" xfId="0" applyNumberFormat="1"/>
    <xf numFmtId="0" fontId="1" fillId="6" borderId="0" xfId="0" applyFont="1" applyFill="1"/>
    <xf numFmtId="0" fontId="0" fillId="6" borderId="0" xfId="0" applyFill="1"/>
    <xf numFmtId="0" fontId="0" fillId="6" borderId="0" xfId="0" applyFont="1" applyFill="1"/>
    <xf numFmtId="0" fontId="1" fillId="7" borderId="0" xfId="0" applyFont="1" applyFill="1"/>
    <xf numFmtId="0" fontId="0" fillId="7" borderId="0" xfId="0" applyFill="1"/>
    <xf numFmtId="0" fontId="0" fillId="8" borderId="0" xfId="0" applyFill="1"/>
    <xf numFmtId="0" fontId="0" fillId="0" borderId="0" xfId="0" applyBorder="1"/>
    <xf numFmtId="0" fontId="0" fillId="0" borderId="0" xfId="0" applyFill="1" applyBorder="1"/>
    <xf numFmtId="0" fontId="0" fillId="9" borderId="2" xfId="0" applyFill="1" applyBorder="1"/>
    <xf numFmtId="0" fontId="0" fillId="9" borderId="0" xfId="0" applyFill="1"/>
    <xf numFmtId="0" fontId="2" fillId="0" borderId="3" xfId="0" applyFont="1" applyFill="1" applyBorder="1"/>
    <xf numFmtId="0" fontId="2" fillId="0" borderId="5" xfId="0" applyFont="1" applyFill="1" applyBorder="1"/>
    <xf numFmtId="0" fontId="2" fillId="0" borderId="6" xfId="0" applyFont="1" applyBorder="1"/>
    <xf numFmtId="0" fontId="0" fillId="0" borderId="2" xfId="0" applyBorder="1"/>
    <xf numFmtId="0" fontId="2" fillId="0" borderId="7" xfId="0" applyFont="1" applyBorder="1"/>
    <xf numFmtId="0" fontId="0" fillId="0" borderId="8" xfId="0" applyBorder="1"/>
    <xf numFmtId="0" fontId="0" fillId="9" borderId="8" xfId="0" applyFill="1" applyBorder="1"/>
    <xf numFmtId="0" fontId="0" fillId="9" borderId="9" xfId="0" applyFill="1" applyBorder="1"/>
    <xf numFmtId="0" fontId="2" fillId="9" borderId="3" xfId="0" applyFont="1" applyFill="1" applyBorder="1"/>
    <xf numFmtId="0" fontId="2" fillId="9" borderId="5" xfId="0" applyFont="1" applyFill="1" applyBorder="1"/>
    <xf numFmtId="0" fontId="2" fillId="9" borderId="6" xfId="0" applyFont="1" applyFill="1" applyBorder="1"/>
    <xf numFmtId="0" fontId="2" fillId="9" borderId="7" xfId="0" applyFont="1" applyFill="1" applyBorder="1"/>
    <xf numFmtId="0" fontId="0" fillId="9" borderId="10" xfId="0" applyFill="1" applyBorder="1"/>
    <xf numFmtId="0" fontId="0" fillId="0" borderId="10" xfId="0" applyBorder="1"/>
    <xf numFmtId="0" fontId="2" fillId="0" borderId="6" xfId="0" applyFont="1" applyFill="1" applyBorder="1"/>
    <xf numFmtId="0" fontId="2" fillId="0" borderId="2" xfId="0" applyFont="1" applyFill="1" applyBorder="1"/>
    <xf numFmtId="0" fontId="2" fillId="9" borderId="2" xfId="0" applyFont="1" applyFill="1" applyBorder="1"/>
    <xf numFmtId="0" fontId="0" fillId="11" borderId="0" xfId="0" applyFill="1" applyBorder="1"/>
    <xf numFmtId="0" fontId="0" fillId="10" borderId="8" xfId="0" applyFill="1" applyBorder="1"/>
    <xf numFmtId="0" fontId="2" fillId="0" borderId="0" xfId="0" applyFont="1" applyFill="1" applyBorder="1"/>
    <xf numFmtId="0" fontId="2" fillId="0" borderId="0" xfId="0" applyFont="1" applyBorder="1"/>
    <xf numFmtId="0" fontId="2" fillId="0" borderId="10" xfId="0" applyFont="1" applyBorder="1"/>
    <xf numFmtId="0" fontId="2" fillId="0" borderId="4" xfId="0" applyFont="1" applyFill="1" applyBorder="1"/>
    <xf numFmtId="0" fontId="0" fillId="10" borderId="2" xfId="0" applyFill="1" applyBorder="1"/>
    <xf numFmtId="0" fontId="0" fillId="11" borderId="2" xfId="0" applyFill="1" applyBorder="1"/>
    <xf numFmtId="0" fontId="0" fillId="0" borderId="1" xfId="0" applyFill="1" applyBorder="1"/>
    <xf numFmtId="0" fontId="0" fillId="9" borderId="1" xfId="0" applyFill="1" applyBorder="1"/>
    <xf numFmtId="0" fontId="0" fillId="0" borderId="11" xfId="0" applyFill="1" applyBorder="1"/>
    <xf numFmtId="0" fontId="0" fillId="9" borderId="11" xfId="0" applyFill="1" applyBorder="1"/>
    <xf numFmtId="0" fontId="0" fillId="0" borderId="12" xfId="0" applyFill="1" applyBorder="1"/>
    <xf numFmtId="0" fontId="0" fillId="12" borderId="0" xfId="0" applyFill="1"/>
  </cellXfs>
  <cellStyles count="1">
    <cellStyle name="一般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116"/>
  <sheetViews>
    <sheetView topLeftCell="A21" workbookViewId="0">
      <selection activeCell="Q17" sqref="Q17"/>
    </sheetView>
  </sheetViews>
  <sheetFormatPr defaultColWidth="8.875" defaultRowHeight="16.5" x14ac:dyDescent="0.25"/>
  <cols>
    <col min="1" max="1" width="13.625" customWidth="1"/>
    <col min="12" max="12" width="17.625" customWidth="1"/>
    <col min="20" max="20" width="18.125" customWidth="1"/>
  </cols>
  <sheetData>
    <row r="1" spans="1:12" x14ac:dyDescent="0.25">
      <c r="A1" s="9" t="s">
        <v>126</v>
      </c>
      <c r="B1" s="3"/>
      <c r="C1" s="3"/>
      <c r="D1" s="3" t="s">
        <v>19</v>
      </c>
      <c r="E1" s="3"/>
      <c r="G1" s="5"/>
      <c r="H1" s="5"/>
      <c r="I1" s="5" t="s">
        <v>20</v>
      </c>
      <c r="J1" s="5"/>
      <c r="L1" s="14" t="s">
        <v>77</v>
      </c>
    </row>
    <row r="2" spans="1:12" s="1" customFormat="1" x14ac:dyDescent="0.25">
      <c r="A2" s="9"/>
      <c r="B2" s="1" t="s">
        <v>13</v>
      </c>
      <c r="C2" s="1" t="s">
        <v>14</v>
      </c>
      <c r="D2" s="1" t="s">
        <v>15</v>
      </c>
      <c r="E2" s="1" t="s">
        <v>16</v>
      </c>
      <c r="G2" s="1" t="s">
        <v>13</v>
      </c>
      <c r="H2" s="1" t="s">
        <v>30</v>
      </c>
      <c r="I2" s="1" t="s">
        <v>15</v>
      </c>
      <c r="J2" s="1" t="s">
        <v>16</v>
      </c>
    </row>
    <row r="3" spans="1:12" x14ac:dyDescent="0.25">
      <c r="A3" s="12" t="s">
        <v>2</v>
      </c>
    </row>
    <row r="4" spans="1:12" x14ac:dyDescent="0.25">
      <c r="A4" s="13" t="s">
        <v>9</v>
      </c>
      <c r="B4">
        <v>0.1351</v>
      </c>
      <c r="C4">
        <v>1.3460000000000001</v>
      </c>
      <c r="D4">
        <v>130.1</v>
      </c>
      <c r="E4">
        <v>0.65859999999999996</v>
      </c>
      <c r="G4">
        <v>9.0050000000000005E-2</v>
      </c>
      <c r="H4">
        <v>-0.88460000000000005</v>
      </c>
      <c r="I4">
        <v>141.9</v>
      </c>
      <c r="J4">
        <v>0.62760000000000005</v>
      </c>
      <c r="L4">
        <f>E4-J4</f>
        <v>3.0999999999999917E-2</v>
      </c>
    </row>
    <row r="5" spans="1:12" x14ac:dyDescent="0.25">
      <c r="A5" s="13" t="s">
        <v>10</v>
      </c>
      <c r="B5">
        <v>0.11849999999999999</v>
      </c>
      <c r="C5">
        <v>1.2430000000000001</v>
      </c>
      <c r="D5">
        <v>84.94</v>
      </c>
      <c r="E5">
        <v>0.6321</v>
      </c>
      <c r="G5">
        <v>9.7030000000000005E-2</v>
      </c>
      <c r="H5">
        <v>-0.85699999999999998</v>
      </c>
      <c r="I5">
        <v>89.41</v>
      </c>
      <c r="J5">
        <v>0.61270000000000002</v>
      </c>
      <c r="L5">
        <f>E5-J5</f>
        <v>1.9399999999999973E-2</v>
      </c>
    </row>
    <row r="6" spans="1:12" x14ac:dyDescent="0.25">
      <c r="A6" s="13" t="s">
        <v>11</v>
      </c>
      <c r="B6">
        <v>0.13819999999999999</v>
      </c>
      <c r="C6">
        <v>1.266</v>
      </c>
      <c r="D6">
        <v>91.09</v>
      </c>
      <c r="E6">
        <v>0.71809999999999996</v>
      </c>
      <c r="G6">
        <v>0.11169999999999999</v>
      </c>
      <c r="H6">
        <v>-0.86509999999999998</v>
      </c>
      <c r="I6">
        <v>99.27</v>
      </c>
      <c r="J6">
        <v>0.69279999999999997</v>
      </c>
      <c r="L6">
        <f t="shared" ref="L6:L34" si="0">E6-J6</f>
        <v>2.5299999999999989E-2</v>
      </c>
    </row>
    <row r="7" spans="1:12" x14ac:dyDescent="0.25">
      <c r="A7" s="12" t="s">
        <v>3</v>
      </c>
    </row>
    <row r="8" spans="1:12" x14ac:dyDescent="0.25">
      <c r="A8" s="13" t="s">
        <v>9</v>
      </c>
      <c r="B8">
        <v>0.13780000000000001</v>
      </c>
      <c r="C8">
        <v>0.84740000000000004</v>
      </c>
      <c r="D8">
        <v>91.12</v>
      </c>
      <c r="E8">
        <v>0.71699999999999997</v>
      </c>
      <c r="G8">
        <v>7.349E-2</v>
      </c>
      <c r="H8">
        <v>-0.90410000000000001</v>
      </c>
      <c r="I8">
        <v>85.79</v>
      </c>
      <c r="J8">
        <v>0.73360000000000003</v>
      </c>
      <c r="L8">
        <f t="shared" si="0"/>
        <v>-1.6600000000000059E-2</v>
      </c>
    </row>
    <row r="9" spans="1:12" x14ac:dyDescent="0.25">
      <c r="A9" s="13" t="s">
        <v>10</v>
      </c>
      <c r="B9">
        <v>9.3840000000000007E-2</v>
      </c>
      <c r="C9">
        <v>1.4510000000000001</v>
      </c>
      <c r="D9">
        <v>122.9</v>
      </c>
      <c r="E9">
        <v>0.4834</v>
      </c>
      <c r="G9">
        <v>7.825E-2</v>
      </c>
      <c r="H9">
        <v>-0.85819999999999996</v>
      </c>
      <c r="I9">
        <v>132.69999999999999</v>
      </c>
      <c r="J9">
        <v>0.44219999999999998</v>
      </c>
      <c r="L9">
        <f t="shared" si="0"/>
        <v>4.1200000000000014E-2</v>
      </c>
    </row>
    <row r="10" spans="1:12" x14ac:dyDescent="0.25">
      <c r="A10" s="13" t="s">
        <v>11</v>
      </c>
      <c r="B10">
        <v>0.13</v>
      </c>
      <c r="C10">
        <v>1.8180000000000001</v>
      </c>
      <c r="D10">
        <v>174.7</v>
      </c>
      <c r="E10">
        <v>0.56889999999999996</v>
      </c>
      <c r="G10">
        <v>0.127</v>
      </c>
      <c r="H10">
        <v>-0.86280000000000001</v>
      </c>
      <c r="I10">
        <v>174.7</v>
      </c>
      <c r="J10">
        <v>0.56879999999999997</v>
      </c>
      <c r="L10" s="8">
        <f t="shared" si="0"/>
        <v>9.9999999999988987E-5</v>
      </c>
    </row>
    <row r="11" spans="1:12" x14ac:dyDescent="0.25">
      <c r="A11" s="12" t="s">
        <v>4</v>
      </c>
    </row>
    <row r="12" spans="1:12" x14ac:dyDescent="0.25">
      <c r="A12" s="13" t="s">
        <v>9</v>
      </c>
      <c r="B12">
        <v>0.1212</v>
      </c>
      <c r="C12">
        <v>1.3140000000000001</v>
      </c>
      <c r="D12">
        <v>149.1</v>
      </c>
      <c r="E12">
        <v>0.58599999999999997</v>
      </c>
      <c r="G12">
        <v>8.9730000000000004E-2</v>
      </c>
      <c r="H12">
        <v>-0.871</v>
      </c>
      <c r="I12">
        <v>160.80000000000001</v>
      </c>
      <c r="J12">
        <v>0.55369999999999997</v>
      </c>
      <c r="L12">
        <f t="shared" si="0"/>
        <v>3.2299999999999995E-2</v>
      </c>
    </row>
    <row r="13" spans="1:12" x14ac:dyDescent="0.25">
      <c r="A13" s="13" t="s">
        <v>10</v>
      </c>
      <c r="B13">
        <v>7.8469999999999998E-2</v>
      </c>
      <c r="C13">
        <v>1.7390000000000001</v>
      </c>
      <c r="D13">
        <v>116.3</v>
      </c>
      <c r="E13">
        <v>0.40699999999999997</v>
      </c>
      <c r="G13">
        <v>8.8069999999999996E-2</v>
      </c>
      <c r="H13">
        <v>-0.83589999999999998</v>
      </c>
      <c r="I13">
        <v>137.9</v>
      </c>
      <c r="J13">
        <v>0.29699999999999999</v>
      </c>
      <c r="L13">
        <f t="shared" si="0"/>
        <v>0.10999999999999999</v>
      </c>
    </row>
    <row r="14" spans="1:12" x14ac:dyDescent="0.25">
      <c r="A14" s="13" t="s">
        <v>11</v>
      </c>
      <c r="B14">
        <v>8.3449999999999996E-2</v>
      </c>
      <c r="C14">
        <v>2.052</v>
      </c>
      <c r="D14">
        <v>191.7</v>
      </c>
      <c r="E14">
        <v>0.4219</v>
      </c>
      <c r="G14">
        <v>0.1331</v>
      </c>
      <c r="H14">
        <v>-0.82250000000000001</v>
      </c>
      <c r="I14">
        <v>195.2</v>
      </c>
      <c r="J14">
        <v>0.41139999999999999</v>
      </c>
      <c r="L14">
        <f t="shared" si="0"/>
        <v>1.0500000000000009E-2</v>
      </c>
    </row>
    <row r="15" spans="1:12" x14ac:dyDescent="0.25">
      <c r="A15" s="12" t="s">
        <v>12</v>
      </c>
    </row>
    <row r="16" spans="1:12" x14ac:dyDescent="0.25">
      <c r="A16" s="13" t="s">
        <v>9</v>
      </c>
      <c r="B16">
        <v>0.1087</v>
      </c>
      <c r="C16">
        <v>1.9350000000000001</v>
      </c>
      <c r="D16">
        <v>125.3</v>
      </c>
      <c r="E16">
        <v>0.55979999999999996</v>
      </c>
      <c r="G16">
        <v>0.1119</v>
      </c>
      <c r="H16">
        <v>-0.85729999999999995</v>
      </c>
      <c r="I16">
        <v>126</v>
      </c>
      <c r="J16">
        <v>0.55740000000000001</v>
      </c>
      <c r="L16">
        <f t="shared" si="0"/>
        <v>2.3999999999999577E-3</v>
      </c>
    </row>
    <row r="17" spans="1:13" x14ac:dyDescent="0.25">
      <c r="A17" s="13" t="s">
        <v>10</v>
      </c>
      <c r="B17">
        <v>0.1053</v>
      </c>
      <c r="C17">
        <v>1.5740000000000001</v>
      </c>
      <c r="D17">
        <v>152.1</v>
      </c>
      <c r="E17">
        <v>0.48220000000000002</v>
      </c>
      <c r="G17">
        <v>0.1087</v>
      </c>
      <c r="H17">
        <v>-0.84189999999999998</v>
      </c>
      <c r="I17">
        <v>160.80000000000001</v>
      </c>
      <c r="J17">
        <v>0.4526</v>
      </c>
      <c r="L17">
        <f t="shared" si="0"/>
        <v>2.9600000000000015E-2</v>
      </c>
    </row>
    <row r="18" spans="1:13" x14ac:dyDescent="0.25">
      <c r="A18" s="13" t="s">
        <v>11</v>
      </c>
      <c r="B18">
        <v>7.4039999999999995E-2</v>
      </c>
      <c r="C18">
        <v>1.9259999999999999</v>
      </c>
      <c r="D18">
        <v>163.69999999999999</v>
      </c>
      <c r="E18">
        <v>0.29380000000000001</v>
      </c>
      <c r="G18">
        <v>0.1135</v>
      </c>
      <c r="H18">
        <v>-0.81100000000000005</v>
      </c>
      <c r="I18">
        <v>170.4</v>
      </c>
      <c r="J18">
        <v>0.26450000000000001</v>
      </c>
      <c r="L18">
        <f t="shared" si="0"/>
        <v>2.9299999999999993E-2</v>
      </c>
    </row>
    <row r="19" spans="1:13" x14ac:dyDescent="0.25">
      <c r="A19" s="12" t="s">
        <v>5</v>
      </c>
    </row>
    <row r="20" spans="1:13" x14ac:dyDescent="0.25">
      <c r="A20" s="13" t="s">
        <v>9</v>
      </c>
      <c r="B20">
        <v>0.10299999999999999</v>
      </c>
      <c r="C20">
        <v>2.1680000000000001</v>
      </c>
      <c r="D20">
        <v>145.4</v>
      </c>
      <c r="E20">
        <v>0.55910000000000004</v>
      </c>
      <c r="G20">
        <v>0.1188</v>
      </c>
      <c r="H20">
        <v>-0.85340000000000005</v>
      </c>
      <c r="I20">
        <v>182.5</v>
      </c>
      <c r="J20">
        <v>0.44679999999999997</v>
      </c>
      <c r="L20">
        <f t="shared" si="0"/>
        <v>0.11230000000000007</v>
      </c>
    </row>
    <row r="21" spans="1:13" x14ac:dyDescent="0.25">
      <c r="A21" s="13" t="s">
        <v>10</v>
      </c>
      <c r="B21">
        <v>9.3679999999999999E-2</v>
      </c>
      <c r="C21">
        <v>2.1259999999999999</v>
      </c>
      <c r="D21">
        <v>116.2</v>
      </c>
      <c r="E21">
        <v>0.49769999999999998</v>
      </c>
      <c r="G21">
        <v>0.1071</v>
      </c>
      <c r="H21">
        <v>-0.84940000000000004</v>
      </c>
      <c r="I21">
        <v>144.1</v>
      </c>
      <c r="J21">
        <v>0.37740000000000001</v>
      </c>
      <c r="L21">
        <f t="shared" si="0"/>
        <v>0.12029999999999996</v>
      </c>
    </row>
    <row r="22" spans="1:13" x14ac:dyDescent="0.25">
      <c r="A22" s="13" t="s">
        <v>11</v>
      </c>
      <c r="B22">
        <v>0.1099</v>
      </c>
      <c r="C22">
        <v>3.0979999999999999</v>
      </c>
      <c r="D22">
        <v>146.6</v>
      </c>
      <c r="E22">
        <v>0.55830000000000002</v>
      </c>
      <c r="G22">
        <v>0.1653</v>
      </c>
      <c r="H22">
        <v>-0.86829999999999996</v>
      </c>
      <c r="I22">
        <v>185.1</v>
      </c>
      <c r="J22">
        <v>0.44219999999999998</v>
      </c>
      <c r="L22">
        <f t="shared" si="0"/>
        <v>0.11610000000000004</v>
      </c>
    </row>
    <row r="23" spans="1:13" x14ac:dyDescent="0.25">
      <c r="A23" s="12" t="s">
        <v>6</v>
      </c>
    </row>
    <row r="24" spans="1:13" x14ac:dyDescent="0.25">
      <c r="A24" s="13" t="s">
        <v>9</v>
      </c>
      <c r="B24">
        <v>0.13</v>
      </c>
      <c r="C24">
        <v>1.87</v>
      </c>
      <c r="D24">
        <v>179.7</v>
      </c>
      <c r="E24">
        <v>0.58860000000000001</v>
      </c>
      <c r="G24">
        <v>8.7739999999999999E-2</v>
      </c>
      <c r="H24">
        <v>-0.89570000000000005</v>
      </c>
      <c r="I24">
        <v>216</v>
      </c>
      <c r="J24">
        <v>0.50529999999999997</v>
      </c>
      <c r="L24">
        <f t="shared" si="0"/>
        <v>8.3300000000000041E-2</v>
      </c>
    </row>
    <row r="25" spans="1:13" x14ac:dyDescent="0.25">
      <c r="A25" s="13" t="s">
        <v>10</v>
      </c>
      <c r="B25">
        <v>0.1066</v>
      </c>
      <c r="C25">
        <v>2.0939999999999999</v>
      </c>
      <c r="D25">
        <v>156</v>
      </c>
      <c r="E25">
        <v>0.47460000000000002</v>
      </c>
      <c r="G25">
        <v>0.1227</v>
      </c>
      <c r="H25">
        <v>-0.85199999999999998</v>
      </c>
      <c r="I25">
        <v>173.9</v>
      </c>
      <c r="J25">
        <v>0.41449999999999998</v>
      </c>
      <c r="L25">
        <f t="shared" si="0"/>
        <v>6.0100000000000042E-2</v>
      </c>
    </row>
    <row r="26" spans="1:13" x14ac:dyDescent="0.25">
      <c r="A26" s="13" t="s">
        <v>11</v>
      </c>
      <c r="B26">
        <v>0.14219999999999999</v>
      </c>
      <c r="C26">
        <v>2.1560000000000001</v>
      </c>
      <c r="D26">
        <v>162.69999999999999</v>
      </c>
      <c r="E26">
        <v>0.64600000000000002</v>
      </c>
      <c r="G26">
        <v>0.12529999999999999</v>
      </c>
      <c r="H26">
        <v>-0.87919999999999998</v>
      </c>
      <c r="I26">
        <v>191.9</v>
      </c>
      <c r="J26">
        <v>0.58230000000000004</v>
      </c>
      <c r="L26">
        <f t="shared" si="0"/>
        <v>6.3699999999999979E-2</v>
      </c>
    </row>
    <row r="27" spans="1:13" x14ac:dyDescent="0.25">
      <c r="A27" s="12" t="s">
        <v>7</v>
      </c>
    </row>
    <row r="28" spans="1:13" x14ac:dyDescent="0.25">
      <c r="A28" s="13" t="s">
        <v>9</v>
      </c>
      <c r="B28">
        <v>0.1132</v>
      </c>
      <c r="C28">
        <v>2.2669999999999999</v>
      </c>
      <c r="D28">
        <v>149.1</v>
      </c>
      <c r="E28">
        <v>0.55840000000000001</v>
      </c>
      <c r="G28">
        <v>0.15029999999999999</v>
      </c>
      <c r="H28">
        <v>-0.85640000000000005</v>
      </c>
      <c r="I28">
        <v>126.1</v>
      </c>
      <c r="J28">
        <v>0.62660000000000005</v>
      </c>
      <c r="L28">
        <f t="shared" si="0"/>
        <v>-6.8200000000000038E-2</v>
      </c>
    </row>
    <row r="29" spans="1:13" x14ac:dyDescent="0.25">
      <c r="A29" s="13" t="s">
        <v>10</v>
      </c>
      <c r="B29">
        <v>9.0160000000000004E-2</v>
      </c>
      <c r="C29">
        <v>1.853</v>
      </c>
      <c r="D29">
        <v>127.9</v>
      </c>
      <c r="E29">
        <v>0.43030000000000002</v>
      </c>
      <c r="G29">
        <v>0.1007</v>
      </c>
      <c r="H29">
        <v>-0.8407</v>
      </c>
      <c r="I29">
        <v>140.69999999999999</v>
      </c>
      <c r="J29">
        <v>0.37340000000000001</v>
      </c>
      <c r="L29">
        <f t="shared" si="0"/>
        <v>5.6900000000000006E-2</v>
      </c>
    </row>
    <row r="30" spans="1:13" x14ac:dyDescent="0.25">
      <c r="A30" s="13" t="s">
        <v>11</v>
      </c>
      <c r="B30">
        <v>0.11550000000000001</v>
      </c>
      <c r="C30">
        <v>1.716</v>
      </c>
      <c r="D30">
        <v>110.3</v>
      </c>
      <c r="E30">
        <v>0.6694</v>
      </c>
      <c r="G30">
        <v>9.8360000000000003E-2</v>
      </c>
      <c r="H30">
        <v>-0.86850000000000005</v>
      </c>
      <c r="I30">
        <v>131</v>
      </c>
      <c r="J30">
        <v>0.60750000000000004</v>
      </c>
      <c r="L30">
        <f t="shared" si="0"/>
        <v>6.1899999999999955E-2</v>
      </c>
    </row>
    <row r="31" spans="1:13" x14ac:dyDescent="0.25">
      <c r="A31" s="12" t="s">
        <v>8</v>
      </c>
    </row>
    <row r="32" spans="1:13" x14ac:dyDescent="0.25">
      <c r="A32" s="13" t="s">
        <v>9</v>
      </c>
      <c r="B32" s="7">
        <v>7.6340000000000005E-2</v>
      </c>
      <c r="C32" s="7">
        <v>1.9219999999999999</v>
      </c>
      <c r="D32" s="7">
        <v>154.1</v>
      </c>
      <c r="E32" s="7">
        <v>0.29339999999999999</v>
      </c>
      <c r="F32" s="7"/>
      <c r="G32" s="7">
        <v>4.3360000000000003</v>
      </c>
      <c r="H32" s="7">
        <v>-0.75839999999999996</v>
      </c>
      <c r="I32" s="7">
        <v>218</v>
      </c>
      <c r="J32" s="7">
        <v>1.248E-4</v>
      </c>
      <c r="K32" s="7"/>
      <c r="L32">
        <f t="shared" si="0"/>
        <v>0.29327520000000001</v>
      </c>
      <c r="M32" s="7" t="s">
        <v>129</v>
      </c>
    </row>
    <row r="33" spans="1:12" x14ac:dyDescent="0.25">
      <c r="A33" s="13" t="s">
        <v>10</v>
      </c>
      <c r="B33">
        <v>9.7089999999999996E-2</v>
      </c>
      <c r="C33">
        <v>1.56</v>
      </c>
      <c r="D33">
        <v>142.30000000000001</v>
      </c>
      <c r="E33">
        <v>0.4133</v>
      </c>
      <c r="G33">
        <v>9.8320000000000005E-2</v>
      </c>
      <c r="H33">
        <v>-0.83960000000000001</v>
      </c>
      <c r="I33">
        <v>147.5</v>
      </c>
      <c r="J33">
        <v>0.39179999999999998</v>
      </c>
      <c r="L33">
        <f t="shared" si="0"/>
        <v>2.1500000000000019E-2</v>
      </c>
    </row>
    <row r="34" spans="1:12" x14ac:dyDescent="0.25">
      <c r="A34" s="13" t="s">
        <v>11</v>
      </c>
      <c r="B34">
        <v>8.4250000000000005E-2</v>
      </c>
      <c r="C34">
        <v>2.6440000000000001</v>
      </c>
      <c r="D34">
        <v>171.7</v>
      </c>
      <c r="E34">
        <v>0.40150000000000002</v>
      </c>
      <c r="G34">
        <v>0.14779999999999999</v>
      </c>
      <c r="H34">
        <v>-0.83750000000000002</v>
      </c>
      <c r="I34">
        <v>193</v>
      </c>
      <c r="J34">
        <v>0.32729999999999998</v>
      </c>
      <c r="L34">
        <f t="shared" si="0"/>
        <v>7.4200000000000044E-2</v>
      </c>
    </row>
    <row r="35" spans="1:12" x14ac:dyDescent="0.25">
      <c r="A35" s="13"/>
    </row>
    <row r="36" spans="1:12" x14ac:dyDescent="0.25">
      <c r="A36" s="12" t="s">
        <v>122</v>
      </c>
      <c r="B36">
        <f>AVERAGE(B4:B34)</f>
        <v>0.10777166666666665</v>
      </c>
      <c r="C36">
        <f>AVERAGE(C4:C34)</f>
        <v>1.8327250000000002</v>
      </c>
      <c r="D36">
        <f>AVERAGE(D4:D34)</f>
        <v>139.79374999999999</v>
      </c>
      <c r="E36">
        <f>AVERAGE(E4:E34)</f>
        <v>0.52580833333333343</v>
      </c>
      <c r="G36">
        <f>AVERAGE(G4:G34)</f>
        <v>0.28670583333333333</v>
      </c>
      <c r="H36">
        <f>AVERAGE(H4:H34)</f>
        <v>-0.8529374999999999</v>
      </c>
      <c r="I36">
        <f>AVERAGE(I4:I34)</f>
        <v>155.19458333333333</v>
      </c>
      <c r="J36">
        <f>AVERAGE(J4:J34)</f>
        <v>0.47123019999999993</v>
      </c>
      <c r="L36">
        <f>AVERAGE(L4:L34)</f>
        <v>5.4578133333333327E-2</v>
      </c>
    </row>
    <row r="37" spans="1:12" x14ac:dyDescent="0.25">
      <c r="A37" s="12" t="s">
        <v>123</v>
      </c>
      <c r="B37">
        <f>AVERAGE(B4:B18)</f>
        <v>0.11038333333333332</v>
      </c>
      <c r="C37">
        <f>AVERAGE(C4:C18)</f>
        <v>1.5426166666666667</v>
      </c>
      <c r="D37">
        <f>AVERAGE(D4:D18)</f>
        <v>132.75416666666663</v>
      </c>
      <c r="E37">
        <f>AVERAGE(E4:E18)</f>
        <v>0.5440666666666667</v>
      </c>
      <c r="G37">
        <f>AVERAGE(G4:G18)</f>
        <v>0.10187666666666666</v>
      </c>
      <c r="H37">
        <f>AVERAGE(H4:H18)</f>
        <v>-0.85594999999999999</v>
      </c>
      <c r="I37">
        <f>AVERAGE(I4:I18)</f>
        <v>139.57249999999999</v>
      </c>
      <c r="J37">
        <f>AVERAGE(J4:J18)</f>
        <v>0.51785833333333342</v>
      </c>
      <c r="L37">
        <f>AVERAGE(L4:L18)</f>
        <v>2.6208333333333316E-2</v>
      </c>
    </row>
    <row r="38" spans="1:12" x14ac:dyDescent="0.25">
      <c r="A38" s="12" t="s">
        <v>124</v>
      </c>
      <c r="B38">
        <f>AVERAGE(B20:B34)</f>
        <v>0.10515999999999999</v>
      </c>
      <c r="C38">
        <f>AVERAGE(C20:C34)</f>
        <v>2.1228333333333338</v>
      </c>
      <c r="D38">
        <f>AVERAGE(D20:D34)</f>
        <v>146.83333333333334</v>
      </c>
      <c r="E38">
        <f>AVERAGE(E20:E34)</f>
        <v>0.50755000000000006</v>
      </c>
      <c r="G38">
        <f>AVERAGE(G20:G34)</f>
        <v>0.47153500000000004</v>
      </c>
      <c r="H38">
        <f>AVERAGE(H20:H34)</f>
        <v>-0.84992500000000015</v>
      </c>
      <c r="I38">
        <f>AVERAGE(I20:I34)</f>
        <v>170.81666666666669</v>
      </c>
      <c r="J38">
        <f>AVERAGE(J20:J34)</f>
        <v>0.42460206666666672</v>
      </c>
      <c r="L38">
        <f>AVERAGE(L20:L34)</f>
        <v>8.2947933333333335E-2</v>
      </c>
    </row>
    <row r="40" spans="1:12" x14ac:dyDescent="0.25">
      <c r="A40" s="9" t="s">
        <v>125</v>
      </c>
      <c r="B40" s="3"/>
      <c r="C40" s="3"/>
      <c r="D40" s="3" t="s">
        <v>19</v>
      </c>
      <c r="E40" s="3"/>
      <c r="G40" s="5"/>
      <c r="H40" s="5"/>
      <c r="I40" s="5" t="s">
        <v>20</v>
      </c>
      <c r="J40" s="5"/>
      <c r="L40" s="14" t="s">
        <v>77</v>
      </c>
    </row>
    <row r="41" spans="1:12" s="1" customFormat="1" x14ac:dyDescent="0.25">
      <c r="A41" s="9"/>
      <c r="B41" s="1" t="s">
        <v>13</v>
      </c>
      <c r="C41" s="1" t="s">
        <v>14</v>
      </c>
      <c r="D41" s="1" t="s">
        <v>15</v>
      </c>
      <c r="E41" s="1" t="s">
        <v>16</v>
      </c>
      <c r="G41" s="1" t="s">
        <v>13</v>
      </c>
      <c r="H41" s="1" t="s">
        <v>30</v>
      </c>
      <c r="I41" s="1" t="s">
        <v>15</v>
      </c>
      <c r="J41" s="1" t="s">
        <v>16</v>
      </c>
    </row>
    <row r="42" spans="1:12" x14ac:dyDescent="0.25">
      <c r="A42" s="12" t="s">
        <v>2</v>
      </c>
    </row>
    <row r="43" spans="1:12" x14ac:dyDescent="0.25">
      <c r="A43" s="13" t="s">
        <v>9</v>
      </c>
      <c r="B43">
        <v>0.14330000000000001</v>
      </c>
      <c r="C43">
        <v>1.081</v>
      </c>
      <c r="D43">
        <v>161.69999999999999</v>
      </c>
      <c r="E43">
        <v>0.66559999999999997</v>
      </c>
      <c r="G43">
        <v>0.1012</v>
      </c>
      <c r="H43">
        <v>-0.87490000000000001</v>
      </c>
      <c r="I43">
        <v>153.5</v>
      </c>
      <c r="J43">
        <v>0.68259999999999998</v>
      </c>
      <c r="L43">
        <f>E43-J43</f>
        <v>-1.7000000000000015E-2</v>
      </c>
    </row>
    <row r="44" spans="1:12" x14ac:dyDescent="0.25">
      <c r="A44" s="13" t="s">
        <v>10</v>
      </c>
      <c r="B44">
        <v>0.1207</v>
      </c>
      <c r="C44">
        <v>1.718</v>
      </c>
      <c r="D44">
        <v>115</v>
      </c>
      <c r="E44">
        <v>0.63690000000000002</v>
      </c>
      <c r="G44">
        <v>0.1016</v>
      </c>
      <c r="H44">
        <v>-0.87160000000000004</v>
      </c>
      <c r="I44">
        <v>142</v>
      </c>
      <c r="J44">
        <v>0.55169999999999997</v>
      </c>
      <c r="L44">
        <f t="shared" ref="L44:L73" si="1">E44-J44</f>
        <v>8.5200000000000053E-2</v>
      </c>
    </row>
    <row r="45" spans="1:12" x14ac:dyDescent="0.25">
      <c r="A45" s="13" t="s">
        <v>11</v>
      </c>
      <c r="B45">
        <v>0.12470000000000001</v>
      </c>
      <c r="C45">
        <v>1.804</v>
      </c>
      <c r="D45">
        <v>89.68</v>
      </c>
      <c r="E45">
        <v>0.71289999999999998</v>
      </c>
      <c r="G45">
        <v>0.13320000000000001</v>
      </c>
      <c r="H45">
        <v>-0.85850000000000004</v>
      </c>
      <c r="I45">
        <v>90.85</v>
      </c>
      <c r="J45">
        <v>0.70920000000000005</v>
      </c>
      <c r="L45">
        <f t="shared" si="1"/>
        <v>3.6999999999999256E-3</v>
      </c>
    </row>
    <row r="46" spans="1:12" x14ac:dyDescent="0.25">
      <c r="A46" s="12" t="s">
        <v>3</v>
      </c>
    </row>
    <row r="47" spans="1:12" x14ac:dyDescent="0.25">
      <c r="A47" s="13" t="s">
        <v>9</v>
      </c>
      <c r="B47">
        <v>0.12659999999999999</v>
      </c>
      <c r="C47">
        <v>1.071</v>
      </c>
      <c r="D47">
        <v>118.9</v>
      </c>
      <c r="E47">
        <v>0.61819999999999997</v>
      </c>
      <c r="G47">
        <v>7.6910000000000006E-2</v>
      </c>
      <c r="H47">
        <v>-0.88880000000000003</v>
      </c>
      <c r="I47">
        <v>116.9</v>
      </c>
      <c r="J47">
        <v>0.62480000000000002</v>
      </c>
      <c r="L47">
        <f t="shared" si="1"/>
        <v>-6.6000000000000503E-3</v>
      </c>
    </row>
    <row r="48" spans="1:12" x14ac:dyDescent="0.25">
      <c r="A48" s="13" t="s">
        <v>10</v>
      </c>
      <c r="B48">
        <v>8.1850000000000006E-2</v>
      </c>
      <c r="C48">
        <v>1.786</v>
      </c>
      <c r="D48">
        <v>107.7</v>
      </c>
      <c r="E48">
        <v>0.4819</v>
      </c>
      <c r="G48">
        <v>0.1038</v>
      </c>
      <c r="H48">
        <v>-0.8226</v>
      </c>
      <c r="I48">
        <v>126.7</v>
      </c>
      <c r="J48">
        <v>0.39050000000000001</v>
      </c>
      <c r="L48">
        <f t="shared" si="1"/>
        <v>9.1399999999999981E-2</v>
      </c>
    </row>
    <row r="49" spans="1:12" x14ac:dyDescent="0.25">
      <c r="A49" s="13" t="s">
        <v>11</v>
      </c>
      <c r="B49">
        <v>0.15679999999999999</v>
      </c>
      <c r="C49">
        <v>1.1990000000000001</v>
      </c>
      <c r="D49">
        <v>191.4</v>
      </c>
      <c r="E49">
        <v>0.6704</v>
      </c>
      <c r="G49">
        <v>0.10390000000000001</v>
      </c>
      <c r="H49">
        <v>-0.88500000000000001</v>
      </c>
      <c r="I49">
        <v>190.1</v>
      </c>
      <c r="J49">
        <v>0.67269999999999996</v>
      </c>
      <c r="L49">
        <f t="shared" si="1"/>
        <v>-2.2999999999999687E-3</v>
      </c>
    </row>
    <row r="50" spans="1:12" x14ac:dyDescent="0.25">
      <c r="A50" s="12" t="s">
        <v>4</v>
      </c>
    </row>
    <row r="51" spans="1:12" x14ac:dyDescent="0.25">
      <c r="A51" s="13" t="s">
        <v>9</v>
      </c>
      <c r="B51">
        <v>9.6299999999999997E-2</v>
      </c>
      <c r="C51">
        <v>1.9079999999999999</v>
      </c>
      <c r="D51">
        <v>151.19999999999999</v>
      </c>
      <c r="E51">
        <v>0.48049999999999998</v>
      </c>
      <c r="G51">
        <v>0.1196</v>
      </c>
      <c r="H51">
        <v>-0.84160000000000001</v>
      </c>
      <c r="I51">
        <v>158.19999999999999</v>
      </c>
      <c r="J51">
        <v>0.45629999999999998</v>
      </c>
      <c r="L51">
        <f t="shared" si="1"/>
        <v>2.4199999999999999E-2</v>
      </c>
    </row>
    <row r="52" spans="1:12" x14ac:dyDescent="0.25">
      <c r="A52" s="13" t="s">
        <v>10</v>
      </c>
      <c r="B52">
        <v>0.1177</v>
      </c>
      <c r="C52">
        <v>0.99860000000000004</v>
      </c>
      <c r="D52">
        <v>132</v>
      </c>
      <c r="E52">
        <v>0.54930000000000001</v>
      </c>
      <c r="G52">
        <v>8.9950000000000002E-2</v>
      </c>
      <c r="H52">
        <v>-0.85519999999999996</v>
      </c>
      <c r="I52">
        <v>130.69999999999999</v>
      </c>
      <c r="J52">
        <v>0.55400000000000005</v>
      </c>
      <c r="L52">
        <f t="shared" si="1"/>
        <v>-4.7000000000000375E-3</v>
      </c>
    </row>
    <row r="53" spans="1:12" x14ac:dyDescent="0.25">
      <c r="A53" s="13" t="s">
        <v>11</v>
      </c>
      <c r="B53">
        <v>0.1033</v>
      </c>
      <c r="C53">
        <v>1.4990000000000001</v>
      </c>
      <c r="D53">
        <v>114.4</v>
      </c>
      <c r="E53">
        <v>0.55000000000000004</v>
      </c>
      <c r="G53">
        <v>0.1101</v>
      </c>
      <c r="H53">
        <v>-0.83740000000000003</v>
      </c>
      <c r="I53">
        <v>106.9</v>
      </c>
      <c r="J53">
        <v>0.57979999999999998</v>
      </c>
      <c r="L53">
        <f t="shared" si="1"/>
        <v>-2.9799999999999938E-2</v>
      </c>
    </row>
    <row r="54" spans="1:12" x14ac:dyDescent="0.25">
      <c r="A54" s="12" t="s">
        <v>12</v>
      </c>
    </row>
    <row r="55" spans="1:12" x14ac:dyDescent="0.25">
      <c r="A55" s="13" t="s">
        <v>9</v>
      </c>
      <c r="B55">
        <v>0.13150000000000001</v>
      </c>
      <c r="C55">
        <v>1.232</v>
      </c>
      <c r="D55">
        <v>72.12</v>
      </c>
      <c r="E55">
        <v>0.67410000000000003</v>
      </c>
      <c r="G55">
        <v>9.9790000000000004E-2</v>
      </c>
      <c r="H55">
        <v>-0.86799999999999999</v>
      </c>
      <c r="I55">
        <v>78</v>
      </c>
      <c r="J55">
        <v>0.64749999999999996</v>
      </c>
      <c r="L55">
        <f t="shared" si="1"/>
        <v>2.6600000000000068E-2</v>
      </c>
    </row>
    <row r="56" spans="1:12" x14ac:dyDescent="0.25">
      <c r="A56" s="13" t="s">
        <v>10</v>
      </c>
      <c r="B56">
        <v>9.955E-2</v>
      </c>
      <c r="C56">
        <v>1.3049999999999999</v>
      </c>
      <c r="D56">
        <v>82.81</v>
      </c>
      <c r="E56">
        <v>0.57750000000000001</v>
      </c>
      <c r="G56">
        <v>8.1470000000000001E-2</v>
      </c>
      <c r="H56">
        <v>-0.85580000000000001</v>
      </c>
      <c r="I56">
        <v>89.78</v>
      </c>
      <c r="J56">
        <v>0.54200000000000004</v>
      </c>
      <c r="L56">
        <f t="shared" si="1"/>
        <v>3.5499999999999976E-2</v>
      </c>
    </row>
    <row r="57" spans="1:12" x14ac:dyDescent="0.25">
      <c r="A57" s="13" t="s">
        <v>11</v>
      </c>
      <c r="B57">
        <v>0.10730000000000001</v>
      </c>
      <c r="C57">
        <v>0.9546</v>
      </c>
      <c r="D57">
        <v>103.8</v>
      </c>
      <c r="E57">
        <v>0.61240000000000006</v>
      </c>
      <c r="G57">
        <v>8.4809999999999997E-2</v>
      </c>
      <c r="H57">
        <v>-0.85160000000000002</v>
      </c>
      <c r="I57">
        <v>101.6</v>
      </c>
      <c r="J57">
        <v>0.62090000000000001</v>
      </c>
      <c r="L57">
        <f t="shared" si="1"/>
        <v>-8.499999999999952E-3</v>
      </c>
    </row>
    <row r="58" spans="1:12" x14ac:dyDescent="0.25">
      <c r="A58" s="12" t="s">
        <v>5</v>
      </c>
    </row>
    <row r="59" spans="1:12" x14ac:dyDescent="0.25">
      <c r="A59" s="13" t="s">
        <v>9</v>
      </c>
      <c r="B59">
        <v>0.12280000000000001</v>
      </c>
      <c r="C59">
        <v>1.512</v>
      </c>
      <c r="D59">
        <v>96.25</v>
      </c>
      <c r="E59">
        <v>0.7026</v>
      </c>
      <c r="G59">
        <v>8.8300000000000003E-2</v>
      </c>
      <c r="H59">
        <v>-0.88090000000000002</v>
      </c>
      <c r="I59">
        <v>111.9</v>
      </c>
      <c r="J59">
        <v>0.6542</v>
      </c>
      <c r="L59">
        <f t="shared" si="1"/>
        <v>4.8399999999999999E-2</v>
      </c>
    </row>
    <row r="60" spans="1:12" x14ac:dyDescent="0.25">
      <c r="A60" s="13" t="s">
        <v>10</v>
      </c>
      <c r="B60">
        <v>0.1002</v>
      </c>
      <c r="C60">
        <v>2.0419999999999998</v>
      </c>
      <c r="D60">
        <v>137.19999999999999</v>
      </c>
      <c r="E60">
        <v>0.50119999999999998</v>
      </c>
      <c r="G60">
        <v>0.1094</v>
      </c>
      <c r="H60">
        <v>-0.85189999999999999</v>
      </c>
      <c r="I60">
        <v>158.19999999999999</v>
      </c>
      <c r="J60">
        <v>0.4249</v>
      </c>
      <c r="L60">
        <f t="shared" si="1"/>
        <v>7.6299999999999979E-2</v>
      </c>
    </row>
    <row r="61" spans="1:12" x14ac:dyDescent="0.25">
      <c r="A61" s="13" t="s">
        <v>11</v>
      </c>
      <c r="B61">
        <v>0.13439999999999999</v>
      </c>
      <c r="C61">
        <v>2.2799999999999998</v>
      </c>
      <c r="D61">
        <v>91.64</v>
      </c>
      <c r="E61">
        <v>0.72960000000000003</v>
      </c>
      <c r="G61">
        <v>0.1181</v>
      </c>
      <c r="H61">
        <v>-0.88339999999999996</v>
      </c>
      <c r="I61">
        <v>105.2</v>
      </c>
      <c r="J61">
        <v>0.68959999999999999</v>
      </c>
      <c r="L61">
        <f t="shared" si="1"/>
        <v>4.0000000000000036E-2</v>
      </c>
    </row>
    <row r="62" spans="1:12" x14ac:dyDescent="0.25">
      <c r="A62" s="12" t="s">
        <v>6</v>
      </c>
    </row>
    <row r="63" spans="1:12" x14ac:dyDescent="0.25">
      <c r="A63" s="13" t="s">
        <v>9</v>
      </c>
      <c r="B63">
        <v>0.13600000000000001</v>
      </c>
      <c r="C63">
        <v>1.5249999999999999</v>
      </c>
      <c r="D63">
        <v>93.56</v>
      </c>
      <c r="E63">
        <v>0.65349999999999997</v>
      </c>
      <c r="G63">
        <v>0.1075</v>
      </c>
      <c r="H63">
        <v>-0.87270000000000003</v>
      </c>
      <c r="I63">
        <v>92.05</v>
      </c>
      <c r="J63">
        <v>0.65910000000000002</v>
      </c>
      <c r="L63">
        <f t="shared" si="1"/>
        <v>-5.6000000000000494E-3</v>
      </c>
    </row>
    <row r="64" spans="1:12" x14ac:dyDescent="0.25">
      <c r="A64" s="13" t="s">
        <v>10</v>
      </c>
      <c r="B64">
        <v>0.12920000000000001</v>
      </c>
      <c r="C64">
        <v>1.665</v>
      </c>
      <c r="D64">
        <v>97.18</v>
      </c>
      <c r="E64">
        <v>0.62</v>
      </c>
      <c r="G64">
        <v>0.1119</v>
      </c>
      <c r="H64">
        <v>-0.8679</v>
      </c>
      <c r="I64">
        <v>106</v>
      </c>
      <c r="J64">
        <v>0.58540000000000003</v>
      </c>
      <c r="L64">
        <f t="shared" si="1"/>
        <v>3.4599999999999964E-2</v>
      </c>
    </row>
    <row r="65" spans="1:20" x14ac:dyDescent="0.25">
      <c r="A65" s="13" t="s">
        <v>11</v>
      </c>
      <c r="B65">
        <v>0.14580000000000001</v>
      </c>
      <c r="C65">
        <v>2.1920000000000002</v>
      </c>
      <c r="D65">
        <v>132.1</v>
      </c>
      <c r="E65">
        <v>0.64100000000000001</v>
      </c>
      <c r="G65">
        <v>0.1135</v>
      </c>
      <c r="H65">
        <v>-0.89070000000000005</v>
      </c>
      <c r="I65">
        <v>150.30000000000001</v>
      </c>
      <c r="J65">
        <v>0.59150000000000003</v>
      </c>
      <c r="L65">
        <f t="shared" si="1"/>
        <v>4.9499999999999988E-2</v>
      </c>
    </row>
    <row r="66" spans="1:20" x14ac:dyDescent="0.25">
      <c r="A66" s="12" t="s">
        <v>7</v>
      </c>
    </row>
    <row r="67" spans="1:20" x14ac:dyDescent="0.25">
      <c r="A67" s="13" t="s">
        <v>9</v>
      </c>
      <c r="B67">
        <v>0.13500000000000001</v>
      </c>
      <c r="C67">
        <v>1.6890000000000001</v>
      </c>
      <c r="D67">
        <v>118.5</v>
      </c>
      <c r="E67">
        <v>0.72919999999999996</v>
      </c>
      <c r="G67">
        <v>0.1139</v>
      </c>
      <c r="H67">
        <v>-0.87539999999999996</v>
      </c>
      <c r="I67">
        <v>129.30000000000001</v>
      </c>
      <c r="J67">
        <v>0.70450000000000002</v>
      </c>
      <c r="L67">
        <f t="shared" si="1"/>
        <v>2.4699999999999944E-2</v>
      </c>
    </row>
    <row r="68" spans="1:20" x14ac:dyDescent="0.25">
      <c r="A68" s="13" t="s">
        <v>10</v>
      </c>
      <c r="B68">
        <v>9.9479999999999999E-2</v>
      </c>
      <c r="C68">
        <v>1.7410000000000001</v>
      </c>
      <c r="D68">
        <v>146.19999999999999</v>
      </c>
      <c r="E68">
        <v>0.53100000000000003</v>
      </c>
      <c r="G68">
        <v>9.3780000000000002E-2</v>
      </c>
      <c r="H68">
        <v>-0.85550000000000004</v>
      </c>
      <c r="I68">
        <v>171.9</v>
      </c>
      <c r="J68">
        <v>0.4486</v>
      </c>
      <c r="L68">
        <f t="shared" si="1"/>
        <v>8.2400000000000029E-2</v>
      </c>
    </row>
    <row r="69" spans="1:20" x14ac:dyDescent="0.25">
      <c r="A69" s="13" t="s">
        <v>11</v>
      </c>
      <c r="B69">
        <v>0.1162</v>
      </c>
      <c r="C69">
        <v>1.7390000000000001</v>
      </c>
      <c r="D69">
        <v>145.9</v>
      </c>
      <c r="E69">
        <v>0.51700000000000002</v>
      </c>
      <c r="G69">
        <v>0.1043</v>
      </c>
      <c r="H69">
        <v>-0.86180000000000001</v>
      </c>
      <c r="I69">
        <v>161</v>
      </c>
      <c r="J69">
        <v>0.46700000000000003</v>
      </c>
      <c r="L69">
        <f t="shared" si="1"/>
        <v>4.9999999999999989E-2</v>
      </c>
    </row>
    <row r="70" spans="1:20" x14ac:dyDescent="0.25">
      <c r="A70" s="12" t="s">
        <v>8</v>
      </c>
    </row>
    <row r="71" spans="1:20" x14ac:dyDescent="0.25">
      <c r="A71" s="13" t="s">
        <v>9</v>
      </c>
      <c r="B71">
        <v>8.0759999999999998E-2</v>
      </c>
      <c r="C71">
        <v>1.6679999999999999</v>
      </c>
      <c r="D71">
        <v>134.1</v>
      </c>
      <c r="E71">
        <v>0.40989999999999999</v>
      </c>
      <c r="G71">
        <v>9.7930000000000003E-2</v>
      </c>
      <c r="H71">
        <v>-0.82269999999999999</v>
      </c>
      <c r="I71">
        <v>141.80000000000001</v>
      </c>
      <c r="J71">
        <v>0.376</v>
      </c>
      <c r="L71">
        <f t="shared" si="1"/>
        <v>3.3899999999999986E-2</v>
      </c>
    </row>
    <row r="72" spans="1:20" x14ac:dyDescent="0.25">
      <c r="A72" s="13" t="s">
        <v>10</v>
      </c>
      <c r="B72">
        <v>0.10390000000000001</v>
      </c>
      <c r="C72">
        <v>1.4339999999999999</v>
      </c>
      <c r="D72">
        <v>103.6</v>
      </c>
      <c r="E72">
        <v>0.54220000000000002</v>
      </c>
      <c r="G72">
        <v>8.3690000000000001E-2</v>
      </c>
      <c r="H72">
        <v>-0.86260000000000003</v>
      </c>
      <c r="I72">
        <v>113.6</v>
      </c>
      <c r="J72">
        <v>0.49819999999999998</v>
      </c>
      <c r="L72">
        <f t="shared" si="1"/>
        <v>4.4000000000000039E-2</v>
      </c>
    </row>
    <row r="73" spans="1:20" x14ac:dyDescent="0.25">
      <c r="A73" s="13" t="s">
        <v>11</v>
      </c>
      <c r="B73">
        <v>0.10489999999999999</v>
      </c>
      <c r="C73">
        <v>2.2829999999999999</v>
      </c>
      <c r="D73">
        <v>164.3</v>
      </c>
      <c r="E73">
        <v>0.52880000000000005</v>
      </c>
      <c r="G73">
        <v>0.14530000000000001</v>
      </c>
      <c r="H73">
        <v>-0.84899999999999998</v>
      </c>
      <c r="I73">
        <v>173.1</v>
      </c>
      <c r="J73">
        <v>0.50339999999999996</v>
      </c>
      <c r="L73">
        <f t="shared" si="1"/>
        <v>2.5400000000000089E-2</v>
      </c>
    </row>
    <row r="74" spans="1:20" x14ac:dyDescent="0.25">
      <c r="A74" s="13"/>
    </row>
    <row r="75" spans="1:20" x14ac:dyDescent="0.25">
      <c r="A75" s="12" t="s">
        <v>122</v>
      </c>
      <c r="B75">
        <f>AVERAGE(B43:B73)</f>
        <v>0.11742666666666668</v>
      </c>
      <c r="C75">
        <f>AVERAGE(C43:C73)</f>
        <v>1.5969249999999997</v>
      </c>
      <c r="D75">
        <f>AVERAGE(D43:D73)</f>
        <v>120.88499999999999</v>
      </c>
      <c r="E75">
        <f>AVERAGE(E43:E73)</f>
        <v>0.5973208333333333</v>
      </c>
      <c r="G75">
        <f t="shared" ref="G75:I75" si="2">AVERAGE(G43:G73)</f>
        <v>0.10391374999999999</v>
      </c>
      <c r="H75">
        <f t="shared" si="2"/>
        <v>-0.86189583333333342</v>
      </c>
      <c r="I75">
        <f t="shared" si="2"/>
        <v>129.14916666666667</v>
      </c>
      <c r="J75">
        <f>AVERAGE(J43:J73)</f>
        <v>0.56809999999999994</v>
      </c>
      <c r="L75">
        <f>AVERAGE(L43:L73)</f>
        <v>2.9220833333333335E-2</v>
      </c>
    </row>
    <row r="76" spans="1:20" x14ac:dyDescent="0.25">
      <c r="A76" s="12" t="s">
        <v>123</v>
      </c>
      <c r="B76">
        <f>AVERAGE(B43:B57)</f>
        <v>0.11746666666666668</v>
      </c>
      <c r="C76">
        <f t="shared" ref="C76:L76" si="3">AVERAGE(C43:C57)</f>
        <v>1.3796833333333332</v>
      </c>
      <c r="D76">
        <f t="shared" si="3"/>
        <v>120.05916666666666</v>
      </c>
      <c r="E76">
        <f t="shared" si="3"/>
        <v>0.60247499999999998</v>
      </c>
      <c r="G76">
        <f t="shared" si="3"/>
        <v>0.10052749999999999</v>
      </c>
      <c r="H76">
        <f t="shared" si="3"/>
        <v>-0.85924999999999985</v>
      </c>
      <c r="I76">
        <f t="shared" si="3"/>
        <v>123.76916666666666</v>
      </c>
      <c r="J76">
        <f t="shared" si="3"/>
        <v>0.58599999999999997</v>
      </c>
      <c r="L76">
        <f t="shared" si="3"/>
        <v>1.6475000000000004E-2</v>
      </c>
    </row>
    <row r="77" spans="1:20" x14ac:dyDescent="0.25">
      <c r="A77" s="12" t="s">
        <v>124</v>
      </c>
      <c r="B77">
        <f>AVERAGE(B59:B73)</f>
        <v>0.11738666666666668</v>
      </c>
      <c r="C77">
        <f t="shared" ref="C77:L77" si="4">AVERAGE(C59:C73)</f>
        <v>1.8141666666666669</v>
      </c>
      <c r="D77">
        <f t="shared" si="4"/>
        <v>121.71083333333331</v>
      </c>
      <c r="E77">
        <f t="shared" si="4"/>
        <v>0.59216666666666673</v>
      </c>
      <c r="G77">
        <f t="shared" si="4"/>
        <v>0.10730000000000001</v>
      </c>
      <c r="H77">
        <f t="shared" si="4"/>
        <v>-0.86454166666666665</v>
      </c>
      <c r="I77">
        <f t="shared" si="4"/>
        <v>134.52916666666667</v>
      </c>
      <c r="J77">
        <f t="shared" si="4"/>
        <v>0.55019999999999991</v>
      </c>
      <c r="L77">
        <f t="shared" si="4"/>
        <v>4.1966666666666673E-2</v>
      </c>
    </row>
    <row r="79" spans="1:20" x14ac:dyDescent="0.25">
      <c r="A79" s="9" t="s">
        <v>127</v>
      </c>
      <c r="B79" s="3"/>
      <c r="C79" s="3"/>
      <c r="D79" s="3"/>
      <c r="E79" s="3"/>
      <c r="F79" s="3" t="s">
        <v>19</v>
      </c>
      <c r="G79" s="3"/>
      <c r="H79" s="3"/>
      <c r="I79" s="3"/>
      <c r="K79" s="5"/>
      <c r="L79" s="5"/>
      <c r="M79" s="5"/>
      <c r="N79" s="5"/>
      <c r="O79" s="5" t="s">
        <v>20</v>
      </c>
      <c r="P79" s="5"/>
      <c r="Q79" s="5"/>
      <c r="R79" s="5"/>
      <c r="T79" s="14" t="s">
        <v>77</v>
      </c>
    </row>
    <row r="80" spans="1:20" x14ac:dyDescent="0.25">
      <c r="A80" s="9" t="s">
        <v>0</v>
      </c>
      <c r="B80" s="1" t="s">
        <v>13</v>
      </c>
      <c r="C80" s="1" t="s">
        <v>22</v>
      </c>
      <c r="D80" s="1" t="s">
        <v>14</v>
      </c>
      <c r="E80" s="1" t="s">
        <v>23</v>
      </c>
      <c r="F80" s="1" t="s">
        <v>15</v>
      </c>
      <c r="G80" s="1" t="s">
        <v>16</v>
      </c>
      <c r="H80" s="1" t="s">
        <v>17</v>
      </c>
      <c r="I80" s="1" t="s">
        <v>18</v>
      </c>
      <c r="J80" s="1"/>
      <c r="K80" s="1" t="s">
        <v>13</v>
      </c>
      <c r="L80" s="1" t="s">
        <v>25</v>
      </c>
      <c r="M80" s="1" t="s">
        <v>30</v>
      </c>
      <c r="N80" s="1" t="s">
        <v>23</v>
      </c>
      <c r="O80" s="1" t="s">
        <v>15</v>
      </c>
      <c r="P80" s="1" t="s">
        <v>16</v>
      </c>
      <c r="Q80" s="1" t="s">
        <v>17</v>
      </c>
      <c r="R80" s="1" t="s">
        <v>18</v>
      </c>
      <c r="S80" s="1"/>
      <c r="T80" s="1"/>
    </row>
    <row r="81" spans="1:20" x14ac:dyDescent="0.25">
      <c r="A81" s="12" t="s">
        <v>2</v>
      </c>
    </row>
    <row r="82" spans="1:20" x14ac:dyDescent="0.25">
      <c r="A82" s="13" t="s">
        <v>9</v>
      </c>
      <c r="B82">
        <v>0.13969999999999999</v>
      </c>
      <c r="C82" t="s">
        <v>21</v>
      </c>
      <c r="D82">
        <v>1.194</v>
      </c>
      <c r="E82" t="s">
        <v>24</v>
      </c>
      <c r="F82">
        <v>292.39999999999998</v>
      </c>
      <c r="G82">
        <v>0.66449999999999998</v>
      </c>
      <c r="H82">
        <v>0.66190000000000004</v>
      </c>
      <c r="I82">
        <v>1.4830000000000001</v>
      </c>
      <c r="K82">
        <v>9.6549999999999997E-2</v>
      </c>
      <c r="L82" t="s">
        <v>73</v>
      </c>
      <c r="M82">
        <v>-0.87849999999999995</v>
      </c>
      <c r="N82" t="s">
        <v>74</v>
      </c>
      <c r="O82">
        <v>296.8</v>
      </c>
      <c r="P82">
        <v>0.65939999999999999</v>
      </c>
      <c r="Q82">
        <v>0.65680000000000005</v>
      </c>
      <c r="R82">
        <v>1.494</v>
      </c>
      <c r="T82">
        <f>G82-P82</f>
        <v>5.0999999999999934E-3</v>
      </c>
    </row>
    <row r="83" spans="1:20" x14ac:dyDescent="0.25">
      <c r="A83" s="13" t="s">
        <v>10</v>
      </c>
      <c r="B83">
        <v>0.12039999999999999</v>
      </c>
      <c r="C83" t="s">
        <v>26</v>
      </c>
      <c r="D83">
        <v>1.4610000000000001</v>
      </c>
      <c r="E83" t="s">
        <v>27</v>
      </c>
      <c r="F83">
        <v>209.4</v>
      </c>
      <c r="G83">
        <v>0.62670000000000003</v>
      </c>
      <c r="H83">
        <v>0.62390000000000001</v>
      </c>
      <c r="I83">
        <v>1.2549999999999999</v>
      </c>
      <c r="K83">
        <v>9.6659999999999996E-2</v>
      </c>
      <c r="L83" t="s">
        <v>75</v>
      </c>
      <c r="M83">
        <v>-0.86799999999999999</v>
      </c>
      <c r="N83" t="s">
        <v>76</v>
      </c>
      <c r="O83">
        <v>239.8</v>
      </c>
      <c r="P83">
        <v>0.57250000000000001</v>
      </c>
      <c r="Q83">
        <v>0.56930000000000003</v>
      </c>
      <c r="R83">
        <v>1.343</v>
      </c>
      <c r="T83">
        <f t="shared" ref="T83:T112" si="5">G83-P83</f>
        <v>5.4200000000000026E-2</v>
      </c>
    </row>
    <row r="84" spans="1:20" x14ac:dyDescent="0.25">
      <c r="A84" s="13" t="s">
        <v>11</v>
      </c>
      <c r="B84">
        <v>0.13070000000000001</v>
      </c>
      <c r="C84" t="s">
        <v>28</v>
      </c>
      <c r="D84">
        <v>1.5589999999999999</v>
      </c>
      <c r="E84" t="s">
        <v>29</v>
      </c>
      <c r="F84">
        <v>183.5</v>
      </c>
      <c r="G84">
        <v>0.71150000000000002</v>
      </c>
      <c r="H84">
        <v>0.70920000000000005</v>
      </c>
      <c r="I84">
        <v>1.2070000000000001</v>
      </c>
      <c r="K84">
        <v>0.1242</v>
      </c>
      <c r="L84" t="s">
        <v>78</v>
      </c>
      <c r="M84">
        <v>-0.86029999999999995</v>
      </c>
      <c r="N84" t="s">
        <v>79</v>
      </c>
      <c r="O84">
        <v>193.2</v>
      </c>
      <c r="P84">
        <v>0.69640000000000002</v>
      </c>
      <c r="Q84">
        <v>0.69399999999999995</v>
      </c>
      <c r="R84">
        <v>1.238</v>
      </c>
      <c r="T84">
        <f t="shared" si="5"/>
        <v>1.5100000000000002E-2</v>
      </c>
    </row>
    <row r="85" spans="1:20" x14ac:dyDescent="0.25">
      <c r="A85" s="12" t="s">
        <v>3</v>
      </c>
    </row>
    <row r="86" spans="1:20" x14ac:dyDescent="0.25">
      <c r="A86" s="13" t="s">
        <v>9</v>
      </c>
      <c r="B86">
        <v>0.13189999999999999</v>
      </c>
      <c r="C86" t="s">
        <v>31</v>
      </c>
      <c r="D86">
        <v>0.9546</v>
      </c>
      <c r="E86" t="s">
        <v>32</v>
      </c>
      <c r="F86">
        <v>210.9</v>
      </c>
      <c r="G86">
        <v>0.67190000000000005</v>
      </c>
      <c r="H86">
        <v>0.66900000000000004</v>
      </c>
      <c r="I86">
        <v>1.36</v>
      </c>
      <c r="K86">
        <v>7.5389999999999999E-2</v>
      </c>
      <c r="L86" t="s">
        <v>80</v>
      </c>
      <c r="M86">
        <v>-0.89539999999999997</v>
      </c>
      <c r="N86" t="s">
        <v>81</v>
      </c>
      <c r="O86">
        <v>204.8</v>
      </c>
      <c r="P86">
        <v>0.68130000000000002</v>
      </c>
      <c r="Q86">
        <v>0.67849999999999999</v>
      </c>
      <c r="R86">
        <v>1.34</v>
      </c>
      <c r="T86">
        <f t="shared" si="5"/>
        <v>-9.3999999999999639E-3</v>
      </c>
    </row>
    <row r="87" spans="1:20" x14ac:dyDescent="0.25">
      <c r="A87" s="13" t="s">
        <v>10</v>
      </c>
      <c r="B87">
        <v>8.745E-2</v>
      </c>
      <c r="C87" t="s">
        <v>33</v>
      </c>
      <c r="D87">
        <v>1.635</v>
      </c>
      <c r="E87" t="s">
        <v>34</v>
      </c>
      <c r="F87">
        <v>231.6</v>
      </c>
      <c r="G87">
        <v>0.48139999999999999</v>
      </c>
      <c r="H87">
        <v>0.47770000000000001</v>
      </c>
      <c r="I87">
        <v>1.282</v>
      </c>
      <c r="K87">
        <v>8.8789999999999994E-2</v>
      </c>
      <c r="L87" t="s">
        <v>82</v>
      </c>
      <c r="M87">
        <v>-0.84040000000000004</v>
      </c>
      <c r="N87" t="s">
        <v>83</v>
      </c>
      <c r="O87">
        <v>262.89999999999998</v>
      </c>
      <c r="P87">
        <v>0.41139999999999999</v>
      </c>
      <c r="Q87">
        <v>0.4073</v>
      </c>
      <c r="R87">
        <v>1.365</v>
      </c>
      <c r="T87">
        <f t="shared" si="5"/>
        <v>7.0000000000000007E-2</v>
      </c>
    </row>
    <row r="88" spans="1:20" x14ac:dyDescent="0.25">
      <c r="A88" s="13" t="s">
        <v>11</v>
      </c>
      <c r="B88">
        <v>0.14460000000000001</v>
      </c>
      <c r="C88" t="s">
        <v>35</v>
      </c>
      <c r="D88">
        <v>1.498</v>
      </c>
      <c r="E88" t="s">
        <v>36</v>
      </c>
      <c r="F88">
        <v>371.5</v>
      </c>
      <c r="G88">
        <v>0.62690000000000001</v>
      </c>
      <c r="H88">
        <v>0.62439999999999996</v>
      </c>
      <c r="I88">
        <v>1.5580000000000001</v>
      </c>
      <c r="K88">
        <v>0.1145</v>
      </c>
      <c r="L88" t="s">
        <v>84</v>
      </c>
      <c r="M88">
        <v>-0.87460000000000004</v>
      </c>
      <c r="N88" t="s">
        <v>85</v>
      </c>
      <c r="O88">
        <v>374.3</v>
      </c>
      <c r="P88">
        <v>0.62409999999999999</v>
      </c>
      <c r="Q88">
        <v>0.62160000000000004</v>
      </c>
      <c r="R88">
        <v>1.5640000000000001</v>
      </c>
      <c r="T88">
        <f t="shared" si="5"/>
        <v>2.8000000000000247E-3</v>
      </c>
    </row>
    <row r="89" spans="1:20" x14ac:dyDescent="0.25">
      <c r="A89" s="12" t="s">
        <v>4</v>
      </c>
    </row>
    <row r="90" spans="1:20" x14ac:dyDescent="0.25">
      <c r="A90" s="13" t="s">
        <v>9</v>
      </c>
      <c r="B90">
        <v>0.1087</v>
      </c>
      <c r="C90" t="s">
        <v>37</v>
      </c>
      <c r="D90">
        <v>1.643</v>
      </c>
      <c r="E90" t="s">
        <v>38</v>
      </c>
      <c r="F90">
        <v>304.89999999999998</v>
      </c>
      <c r="G90">
        <v>0.53990000000000005</v>
      </c>
      <c r="H90">
        <v>0.53620000000000001</v>
      </c>
      <c r="I90">
        <v>1.5620000000000001</v>
      </c>
      <c r="K90">
        <v>0.1065</v>
      </c>
      <c r="L90" t="s">
        <v>86</v>
      </c>
      <c r="M90">
        <v>-0.85350000000000004</v>
      </c>
      <c r="N90" t="s">
        <v>87</v>
      </c>
      <c r="O90">
        <v>326.10000000000002</v>
      </c>
      <c r="P90">
        <v>0.50790000000000002</v>
      </c>
      <c r="Q90">
        <v>0.50390000000000001</v>
      </c>
      <c r="R90">
        <v>1.615</v>
      </c>
      <c r="T90">
        <f t="shared" si="5"/>
        <v>3.2000000000000028E-2</v>
      </c>
    </row>
    <row r="91" spans="1:20" x14ac:dyDescent="0.25">
      <c r="A91" s="13" t="s">
        <v>10</v>
      </c>
      <c r="B91">
        <v>9.776E-2</v>
      </c>
      <c r="C91" t="s">
        <v>39</v>
      </c>
      <c r="D91">
        <v>1.4079999999999999</v>
      </c>
      <c r="E91" t="s">
        <v>40</v>
      </c>
      <c r="F91">
        <v>259.3</v>
      </c>
      <c r="G91">
        <v>0.47789999999999999</v>
      </c>
      <c r="H91">
        <v>0.47399999999999998</v>
      </c>
      <c r="I91">
        <v>1.381</v>
      </c>
      <c r="K91">
        <v>8.9620000000000005E-2</v>
      </c>
      <c r="L91" t="s">
        <v>88</v>
      </c>
      <c r="M91">
        <v>-0.84670000000000001</v>
      </c>
      <c r="N91" t="s">
        <v>89</v>
      </c>
      <c r="O91">
        <v>274.5</v>
      </c>
      <c r="P91">
        <v>0.44719999999999999</v>
      </c>
      <c r="Q91">
        <v>0.44309999999999999</v>
      </c>
      <c r="R91">
        <v>1.421</v>
      </c>
      <c r="T91">
        <f t="shared" si="5"/>
        <v>3.0700000000000005E-2</v>
      </c>
    </row>
    <row r="92" spans="1:20" x14ac:dyDescent="0.25">
      <c r="A92" s="13" t="s">
        <v>11</v>
      </c>
      <c r="B92">
        <v>9.1359999999999997E-2</v>
      </c>
      <c r="C92" t="s">
        <v>41</v>
      </c>
      <c r="D92">
        <v>1.82</v>
      </c>
      <c r="E92" t="s">
        <v>42</v>
      </c>
      <c r="F92">
        <v>309.3</v>
      </c>
      <c r="G92">
        <v>0.4738</v>
      </c>
      <c r="H92">
        <v>0.47039999999999998</v>
      </c>
      <c r="I92">
        <v>1.4079999999999999</v>
      </c>
      <c r="K92">
        <v>0.1217</v>
      </c>
      <c r="L92" t="s">
        <v>90</v>
      </c>
      <c r="M92">
        <v>-0.82830000000000004</v>
      </c>
      <c r="N92" t="s">
        <v>91</v>
      </c>
      <c r="O92">
        <v>304.8</v>
      </c>
      <c r="P92">
        <v>0.48139999999999999</v>
      </c>
      <c r="Q92">
        <v>0.47810000000000002</v>
      </c>
      <c r="R92">
        <v>1.3979999999999999</v>
      </c>
      <c r="T92">
        <f t="shared" si="5"/>
        <v>-7.5999999999999956E-3</v>
      </c>
    </row>
    <row r="93" spans="1:20" x14ac:dyDescent="0.25">
      <c r="A93" s="12" t="s">
        <v>12</v>
      </c>
    </row>
    <row r="94" spans="1:20" x14ac:dyDescent="0.25">
      <c r="A94" s="13" t="s">
        <v>9</v>
      </c>
      <c r="B94">
        <v>0.11849999999999999</v>
      </c>
      <c r="C94" t="s">
        <v>43</v>
      </c>
      <c r="D94">
        <v>1.6060000000000001</v>
      </c>
      <c r="E94" t="s">
        <v>44</v>
      </c>
      <c r="F94">
        <v>200.7</v>
      </c>
      <c r="G94">
        <v>0.6149</v>
      </c>
      <c r="H94">
        <v>0.61150000000000004</v>
      </c>
      <c r="I94">
        <v>1.333</v>
      </c>
      <c r="K94">
        <v>0.1077</v>
      </c>
      <c r="L94" t="s">
        <v>92</v>
      </c>
      <c r="M94">
        <v>-0.86009999999999998</v>
      </c>
      <c r="N94" t="s">
        <v>93</v>
      </c>
      <c r="O94">
        <v>204.9</v>
      </c>
      <c r="P94">
        <v>0.60680000000000001</v>
      </c>
      <c r="Q94">
        <v>0.60340000000000005</v>
      </c>
      <c r="R94">
        <v>1.347</v>
      </c>
      <c r="T94">
        <f t="shared" si="5"/>
        <v>8.0999999999999961E-3</v>
      </c>
    </row>
    <row r="95" spans="1:20" x14ac:dyDescent="0.25">
      <c r="A95" s="13" t="s">
        <v>10</v>
      </c>
      <c r="B95">
        <v>0.1021</v>
      </c>
      <c r="C95" t="s">
        <v>45</v>
      </c>
      <c r="D95">
        <v>1.466</v>
      </c>
      <c r="E95" t="s">
        <v>46</v>
      </c>
      <c r="F95">
        <v>240.8</v>
      </c>
      <c r="G95">
        <v>0.51219999999999999</v>
      </c>
      <c r="H95">
        <v>0.50829999999999997</v>
      </c>
      <c r="I95">
        <v>1.3819999999999999</v>
      </c>
      <c r="K95">
        <v>9.6890000000000004E-2</v>
      </c>
      <c r="L95" t="s">
        <v>94</v>
      </c>
      <c r="M95">
        <v>-0.8448</v>
      </c>
      <c r="N95" t="s">
        <v>95</v>
      </c>
      <c r="O95">
        <v>258.60000000000002</v>
      </c>
      <c r="P95">
        <v>0.47599999999999998</v>
      </c>
      <c r="Q95">
        <v>0.4718</v>
      </c>
      <c r="R95">
        <v>1.4330000000000001</v>
      </c>
      <c r="T95">
        <f t="shared" si="5"/>
        <v>3.620000000000001E-2</v>
      </c>
    </row>
    <row r="96" spans="1:20" x14ac:dyDescent="0.25">
      <c r="A96" s="13" t="s">
        <v>11</v>
      </c>
      <c r="B96">
        <v>9.2149999999999996E-2</v>
      </c>
      <c r="C96" t="s">
        <v>47</v>
      </c>
      <c r="D96">
        <v>1.383</v>
      </c>
      <c r="E96" t="s">
        <v>48</v>
      </c>
      <c r="F96">
        <v>275.2</v>
      </c>
      <c r="G96">
        <v>0.45350000000000001</v>
      </c>
      <c r="H96">
        <v>0.44890000000000002</v>
      </c>
      <c r="I96">
        <v>1.5209999999999999</v>
      </c>
      <c r="K96">
        <v>9.5990000000000006E-2</v>
      </c>
      <c r="L96" t="s">
        <v>96</v>
      </c>
      <c r="M96">
        <v>-0.83160000000000001</v>
      </c>
      <c r="N96" t="s">
        <v>97</v>
      </c>
      <c r="O96">
        <v>278.60000000000002</v>
      </c>
      <c r="P96">
        <v>0.44669999999999999</v>
      </c>
      <c r="Q96">
        <v>0.44209999999999999</v>
      </c>
      <c r="R96">
        <v>1.53</v>
      </c>
      <c r="T96">
        <f t="shared" si="5"/>
        <v>6.8000000000000282E-3</v>
      </c>
    </row>
    <row r="97" spans="1:20" x14ac:dyDescent="0.25">
      <c r="A97" s="12" t="s">
        <v>5</v>
      </c>
    </row>
    <row r="98" spans="1:20" x14ac:dyDescent="0.25">
      <c r="A98" s="13" t="s">
        <v>9</v>
      </c>
      <c r="B98">
        <v>0.11210000000000001</v>
      </c>
      <c r="C98" t="s">
        <v>49</v>
      </c>
      <c r="D98">
        <v>1.8640000000000001</v>
      </c>
      <c r="E98" t="s">
        <v>50</v>
      </c>
      <c r="F98">
        <v>245.9</v>
      </c>
      <c r="G98">
        <v>0.624</v>
      </c>
      <c r="H98">
        <v>0.62139999999999995</v>
      </c>
      <c r="I98">
        <v>1.302</v>
      </c>
      <c r="K98">
        <v>0.10050000000000001</v>
      </c>
      <c r="L98" t="s">
        <v>98</v>
      </c>
      <c r="M98">
        <v>-0.86650000000000005</v>
      </c>
      <c r="N98" t="s">
        <v>99</v>
      </c>
      <c r="O98">
        <v>302.10000000000002</v>
      </c>
      <c r="P98">
        <v>0.53800000000000003</v>
      </c>
      <c r="Q98">
        <v>0.53480000000000005</v>
      </c>
      <c r="R98">
        <v>1.4430000000000001</v>
      </c>
      <c r="T98">
        <f t="shared" si="5"/>
        <v>8.5999999999999965E-2</v>
      </c>
    </row>
    <row r="99" spans="1:20" x14ac:dyDescent="0.25">
      <c r="A99" s="13" t="s">
        <v>10</v>
      </c>
      <c r="B99">
        <v>9.7220000000000001E-2</v>
      </c>
      <c r="C99" t="s">
        <v>51</v>
      </c>
      <c r="D99">
        <v>2.08</v>
      </c>
      <c r="E99" t="s">
        <v>52</v>
      </c>
      <c r="F99">
        <v>254</v>
      </c>
      <c r="G99">
        <v>0.50070000000000003</v>
      </c>
      <c r="H99">
        <v>0.49690000000000001</v>
      </c>
      <c r="I99">
        <v>1.3979999999999999</v>
      </c>
      <c r="K99">
        <v>0.1081</v>
      </c>
      <c r="L99" t="s">
        <v>100</v>
      </c>
      <c r="M99">
        <v>-0.85089999999999999</v>
      </c>
      <c r="N99" t="s">
        <v>101</v>
      </c>
      <c r="O99">
        <v>302.7</v>
      </c>
      <c r="P99">
        <v>0.40500000000000003</v>
      </c>
      <c r="Q99">
        <v>0.40039999999999998</v>
      </c>
      <c r="R99">
        <v>1.526</v>
      </c>
      <c r="T99">
        <f t="shared" si="5"/>
        <v>9.5700000000000007E-2</v>
      </c>
    </row>
    <row r="100" spans="1:20" x14ac:dyDescent="0.25">
      <c r="A100" s="13" t="s">
        <v>11</v>
      </c>
      <c r="B100">
        <v>0.1211</v>
      </c>
      <c r="C100" t="s">
        <v>53</v>
      </c>
      <c r="D100">
        <v>2.7370000000000001</v>
      </c>
      <c r="E100" t="s">
        <v>54</v>
      </c>
      <c r="F100">
        <v>243.1</v>
      </c>
      <c r="G100">
        <v>0.63790000000000002</v>
      </c>
      <c r="H100">
        <v>0.63500000000000001</v>
      </c>
      <c r="I100">
        <v>1.3779999999999999</v>
      </c>
      <c r="K100">
        <v>0.14299999999999999</v>
      </c>
      <c r="L100" t="s">
        <v>102</v>
      </c>
      <c r="M100">
        <v>-0.874</v>
      </c>
      <c r="N100" t="s">
        <v>103</v>
      </c>
      <c r="O100">
        <v>303.8</v>
      </c>
      <c r="P100">
        <v>0.5474</v>
      </c>
      <c r="Q100">
        <v>0.54390000000000005</v>
      </c>
      <c r="R100">
        <v>1.5409999999999999</v>
      </c>
      <c r="T100">
        <f t="shared" si="5"/>
        <v>9.0500000000000025E-2</v>
      </c>
    </row>
    <row r="101" spans="1:20" x14ac:dyDescent="0.25">
      <c r="A101" s="12" t="s">
        <v>6</v>
      </c>
    </row>
    <row r="102" spans="1:20" x14ac:dyDescent="0.25">
      <c r="A102" s="13" t="s">
        <v>9</v>
      </c>
      <c r="B102">
        <v>0.13220000000000001</v>
      </c>
      <c r="C102" t="s">
        <v>55</v>
      </c>
      <c r="D102">
        <v>1.7370000000000001</v>
      </c>
      <c r="E102" t="s">
        <v>56</v>
      </c>
      <c r="F102">
        <v>274.5</v>
      </c>
      <c r="G102">
        <v>0.6119</v>
      </c>
      <c r="H102">
        <v>0.60880000000000001</v>
      </c>
      <c r="I102">
        <v>1.488</v>
      </c>
      <c r="K102">
        <v>9.6479999999999996E-2</v>
      </c>
      <c r="L102" t="s">
        <v>104</v>
      </c>
      <c r="M102">
        <v>-0.88439999999999996</v>
      </c>
      <c r="N102" t="s">
        <v>105</v>
      </c>
      <c r="O102">
        <v>313.10000000000002</v>
      </c>
      <c r="P102">
        <v>0.55720000000000003</v>
      </c>
      <c r="Q102">
        <v>0.55369999999999997</v>
      </c>
      <c r="R102">
        <v>1.589</v>
      </c>
      <c r="T102">
        <f t="shared" si="5"/>
        <v>5.4699999999999971E-2</v>
      </c>
    </row>
    <row r="103" spans="1:20" x14ac:dyDescent="0.25">
      <c r="A103" s="13" t="s">
        <v>10</v>
      </c>
      <c r="B103">
        <v>0.1168</v>
      </c>
      <c r="C103" t="s">
        <v>57</v>
      </c>
      <c r="D103">
        <v>1.915</v>
      </c>
      <c r="E103" t="s">
        <v>58</v>
      </c>
      <c r="F103">
        <v>256.39999999999998</v>
      </c>
      <c r="G103">
        <v>0.54039999999999999</v>
      </c>
      <c r="H103">
        <v>0.53669999999999995</v>
      </c>
      <c r="I103">
        <v>1.4319999999999999</v>
      </c>
      <c r="K103">
        <v>0.1169</v>
      </c>
      <c r="L103" t="s">
        <v>106</v>
      </c>
      <c r="M103">
        <v>-0.86009999999999998</v>
      </c>
      <c r="N103" t="s">
        <v>107</v>
      </c>
      <c r="O103">
        <v>282.60000000000002</v>
      </c>
      <c r="P103">
        <v>0.49340000000000001</v>
      </c>
      <c r="Q103">
        <v>0.48930000000000001</v>
      </c>
      <c r="R103">
        <v>1.504</v>
      </c>
      <c r="T103">
        <f t="shared" si="5"/>
        <v>4.6999999999999986E-2</v>
      </c>
    </row>
    <row r="104" spans="1:20" x14ac:dyDescent="0.25">
      <c r="A104" s="13" t="s">
        <v>11</v>
      </c>
      <c r="B104">
        <v>0.14410000000000001</v>
      </c>
      <c r="C104" t="s">
        <v>59</v>
      </c>
      <c r="D104">
        <v>2.169</v>
      </c>
      <c r="E104" t="s">
        <v>60</v>
      </c>
      <c r="F104">
        <v>295.39999999999998</v>
      </c>
      <c r="G104">
        <v>0.64510000000000001</v>
      </c>
      <c r="H104">
        <v>0.64249999999999996</v>
      </c>
      <c r="I104">
        <v>1.468</v>
      </c>
      <c r="K104">
        <v>0.11799999999999999</v>
      </c>
      <c r="L104" t="s">
        <v>108</v>
      </c>
      <c r="M104">
        <v>-0.88529999999999998</v>
      </c>
      <c r="N104" t="s">
        <v>109</v>
      </c>
      <c r="O104">
        <v>345.4</v>
      </c>
      <c r="P104">
        <v>0.58499999999999996</v>
      </c>
      <c r="Q104">
        <v>0.58199999999999996</v>
      </c>
      <c r="R104">
        <v>1.5880000000000001</v>
      </c>
      <c r="T104">
        <f t="shared" si="5"/>
        <v>6.0100000000000042E-2</v>
      </c>
    </row>
    <row r="105" spans="1:20" x14ac:dyDescent="0.25">
      <c r="A105" s="12" t="s">
        <v>7</v>
      </c>
    </row>
    <row r="106" spans="1:20" x14ac:dyDescent="0.25">
      <c r="A106" s="13" t="s">
        <v>9</v>
      </c>
      <c r="B106">
        <v>0.125</v>
      </c>
      <c r="C106" t="s">
        <v>61</v>
      </c>
      <c r="D106">
        <v>1.9490000000000001</v>
      </c>
      <c r="E106" t="s">
        <v>62</v>
      </c>
      <c r="F106">
        <v>271.39999999999998</v>
      </c>
      <c r="G106">
        <v>0.65010000000000001</v>
      </c>
      <c r="H106">
        <v>0.64739999999999998</v>
      </c>
      <c r="I106">
        <v>1.4450000000000001</v>
      </c>
      <c r="K106">
        <v>0.12959999999999999</v>
      </c>
      <c r="L106" t="s">
        <v>110</v>
      </c>
      <c r="M106">
        <v>-0.86560000000000004</v>
      </c>
      <c r="N106" t="s">
        <v>111</v>
      </c>
      <c r="O106">
        <v>265.2</v>
      </c>
      <c r="P106">
        <v>0.65820000000000001</v>
      </c>
      <c r="Q106">
        <v>0.65549999999999997</v>
      </c>
      <c r="R106">
        <v>1.4279999999999999</v>
      </c>
      <c r="T106">
        <f t="shared" si="5"/>
        <v>-8.0999999999999961E-3</v>
      </c>
    </row>
    <row r="107" spans="1:20" x14ac:dyDescent="0.25">
      <c r="A107" s="13" t="s">
        <v>10</v>
      </c>
      <c r="B107">
        <v>9.5070000000000002E-2</v>
      </c>
      <c r="C107" t="s">
        <v>63</v>
      </c>
      <c r="D107">
        <v>1.7929999999999999</v>
      </c>
      <c r="E107" t="s">
        <v>64</v>
      </c>
      <c r="F107">
        <v>275.39999999999998</v>
      </c>
      <c r="G107">
        <v>0.48699999999999999</v>
      </c>
      <c r="H107">
        <v>0.48309999999999997</v>
      </c>
      <c r="I107">
        <v>1.444</v>
      </c>
      <c r="K107">
        <v>9.7439999999999999E-2</v>
      </c>
      <c r="L107" t="s">
        <v>112</v>
      </c>
      <c r="M107">
        <v>-0.84789999999999999</v>
      </c>
      <c r="N107" t="s">
        <v>113</v>
      </c>
      <c r="O107">
        <v>314.2</v>
      </c>
      <c r="P107">
        <v>0.41470000000000001</v>
      </c>
      <c r="Q107">
        <v>0.4103</v>
      </c>
      <c r="R107">
        <v>1.5429999999999999</v>
      </c>
      <c r="T107">
        <f t="shared" si="5"/>
        <v>7.2299999999999975E-2</v>
      </c>
    </row>
    <row r="108" spans="1:20" x14ac:dyDescent="0.25">
      <c r="A108" s="13" t="s">
        <v>11</v>
      </c>
      <c r="B108">
        <v>0.1159</v>
      </c>
      <c r="C108" t="s">
        <v>65</v>
      </c>
      <c r="D108">
        <v>1.7270000000000001</v>
      </c>
      <c r="E108" t="s">
        <v>66</v>
      </c>
      <c r="F108">
        <v>256.2</v>
      </c>
      <c r="G108">
        <v>0.59789999999999999</v>
      </c>
      <c r="H108">
        <v>0.59489999999999998</v>
      </c>
      <c r="I108">
        <v>1.383</v>
      </c>
      <c r="K108">
        <v>0.1009</v>
      </c>
      <c r="L108" t="s">
        <v>114</v>
      </c>
      <c r="M108">
        <v>-0.86560000000000004</v>
      </c>
      <c r="N108" t="s">
        <v>115</v>
      </c>
      <c r="O108">
        <v>292.3</v>
      </c>
      <c r="P108">
        <v>0.54139999999999999</v>
      </c>
      <c r="Q108">
        <v>0.53800000000000003</v>
      </c>
      <c r="R108">
        <v>1.4770000000000001</v>
      </c>
      <c r="T108">
        <f t="shared" si="5"/>
        <v>5.6499999999999995E-2</v>
      </c>
    </row>
    <row r="109" spans="1:20" x14ac:dyDescent="0.25">
      <c r="A109" s="12" t="s">
        <v>8</v>
      </c>
    </row>
    <row r="110" spans="1:20" x14ac:dyDescent="0.25">
      <c r="A110" s="13" t="s">
        <v>9</v>
      </c>
      <c r="B110">
        <v>7.4550000000000005E-2</v>
      </c>
      <c r="C110" t="s">
        <v>67</v>
      </c>
      <c r="D110">
        <v>1.9450000000000001</v>
      </c>
      <c r="E110" t="s">
        <v>68</v>
      </c>
      <c r="F110">
        <v>331.4</v>
      </c>
      <c r="G110">
        <v>0.30330000000000001</v>
      </c>
      <c r="H110">
        <v>0.2974</v>
      </c>
      <c r="I110">
        <v>1.6759999999999999</v>
      </c>
      <c r="K110">
        <v>9.0609999999999996E-2</v>
      </c>
      <c r="L110" t="s">
        <v>116</v>
      </c>
      <c r="M110">
        <v>-0.83299999999999996</v>
      </c>
      <c r="N110" t="s">
        <v>117</v>
      </c>
      <c r="O110">
        <v>369.1</v>
      </c>
      <c r="P110">
        <v>0.22409999999999999</v>
      </c>
      <c r="Q110">
        <v>0.2175</v>
      </c>
      <c r="R110">
        <v>1.7689999999999999</v>
      </c>
      <c r="T110">
        <f t="shared" si="5"/>
        <v>7.920000000000002E-2</v>
      </c>
    </row>
    <row r="111" spans="1:20" x14ac:dyDescent="0.25">
      <c r="A111" s="13" t="s">
        <v>10</v>
      </c>
      <c r="B111">
        <v>0.10059999999999999</v>
      </c>
      <c r="C111" t="s">
        <v>69</v>
      </c>
      <c r="D111">
        <v>1.492</v>
      </c>
      <c r="E111" t="s">
        <v>70</v>
      </c>
      <c r="F111">
        <v>246.2</v>
      </c>
      <c r="G111">
        <v>0.4748</v>
      </c>
      <c r="H111">
        <v>0.47060000000000002</v>
      </c>
      <c r="I111">
        <v>1.403</v>
      </c>
      <c r="K111">
        <v>9.2189999999999994E-2</v>
      </c>
      <c r="L111" t="s">
        <v>118</v>
      </c>
      <c r="M111">
        <v>-0.84860000000000002</v>
      </c>
      <c r="N111" t="s">
        <v>119</v>
      </c>
      <c r="O111">
        <v>262.5</v>
      </c>
      <c r="P111">
        <v>0.44019999999999998</v>
      </c>
      <c r="Q111">
        <v>0.43569999999999998</v>
      </c>
      <c r="R111">
        <v>1.4490000000000001</v>
      </c>
      <c r="T111">
        <f t="shared" si="5"/>
        <v>3.460000000000002E-2</v>
      </c>
    </row>
    <row r="112" spans="1:20" x14ac:dyDescent="0.25">
      <c r="A112" s="13" t="s">
        <v>11</v>
      </c>
      <c r="B112">
        <v>9.4500000000000001E-2</v>
      </c>
      <c r="C112" t="s">
        <v>71</v>
      </c>
      <c r="D112">
        <v>2.456</v>
      </c>
      <c r="E112" t="s">
        <v>72</v>
      </c>
      <c r="F112">
        <v>340.4</v>
      </c>
      <c r="G112">
        <v>0.46429999999999999</v>
      </c>
      <c r="H112">
        <v>0.4607</v>
      </c>
      <c r="I112">
        <v>1.512</v>
      </c>
      <c r="K112">
        <v>0.1464</v>
      </c>
      <c r="L112" t="s">
        <v>120</v>
      </c>
      <c r="M112">
        <v>-0.84309999999999996</v>
      </c>
      <c r="N112" t="s">
        <v>121</v>
      </c>
      <c r="O112">
        <v>369.7</v>
      </c>
      <c r="P112">
        <v>0.41830000000000001</v>
      </c>
      <c r="Q112">
        <v>0.41439999999999999</v>
      </c>
      <c r="R112">
        <v>1.575</v>
      </c>
      <c r="T112">
        <f t="shared" si="5"/>
        <v>4.5999999999999985E-2</v>
      </c>
    </row>
    <row r="113" spans="1:20" x14ac:dyDescent="0.25">
      <c r="A113" s="13"/>
    </row>
    <row r="114" spans="1:20" x14ac:dyDescent="0.25">
      <c r="A114" s="12" t="s">
        <v>122</v>
      </c>
      <c r="B114" s="7">
        <f>AVERAGE(B82:B112)</f>
        <v>0.11226916666666668</v>
      </c>
      <c r="C114" s="7"/>
      <c r="D114" s="7">
        <f t="shared" ref="D114:T114" si="6">AVERAGE(D82:D112)</f>
        <v>1.7288166666666669</v>
      </c>
      <c r="E114" s="7"/>
      <c r="F114" s="7">
        <f t="shared" si="6"/>
        <v>265.82499999999987</v>
      </c>
      <c r="G114" s="7">
        <f t="shared" si="6"/>
        <v>0.5580208333333333</v>
      </c>
      <c r="H114" s="7">
        <f t="shared" si="6"/>
        <v>0.55461666666666665</v>
      </c>
      <c r="I114" s="7">
        <f t="shared" si="6"/>
        <v>1.419208333333333</v>
      </c>
      <c r="J114" s="7"/>
      <c r="K114" s="7">
        <f t="shared" si="6"/>
        <v>0.10644208333333334</v>
      </c>
      <c r="L114" s="7"/>
      <c r="M114" s="7">
        <f t="shared" si="6"/>
        <v>-0.85863333333333325</v>
      </c>
      <c r="N114" s="7"/>
      <c r="O114" s="7">
        <f t="shared" si="6"/>
        <v>289.25</v>
      </c>
      <c r="P114" s="7">
        <f t="shared" si="6"/>
        <v>0.51808333333333334</v>
      </c>
      <c r="Q114" s="7">
        <f t="shared" si="6"/>
        <v>0.51439166666666669</v>
      </c>
      <c r="R114" s="7">
        <f t="shared" si="6"/>
        <v>1.4800000000000002</v>
      </c>
      <c r="S114" s="7"/>
      <c r="T114" s="7">
        <f t="shared" si="6"/>
        <v>3.9937500000000015E-2</v>
      </c>
    </row>
    <row r="115" spans="1:20" x14ac:dyDescent="0.25">
      <c r="A115" s="12" t="s">
        <v>123</v>
      </c>
      <c r="B115">
        <f>AVERAGE(B82:B96)</f>
        <v>0.11377666666666668</v>
      </c>
      <c r="D115">
        <f t="shared" ref="D115:T115" si="7">AVERAGE(D82:D96)</f>
        <v>1.4689666666666668</v>
      </c>
      <c r="F115">
        <f t="shared" si="7"/>
        <v>257.45833333333331</v>
      </c>
      <c r="G115">
        <f t="shared" si="7"/>
        <v>0.57125833333333331</v>
      </c>
      <c r="H115">
        <f t="shared" si="7"/>
        <v>0.56795000000000007</v>
      </c>
      <c r="I115">
        <f t="shared" si="7"/>
        <v>1.3943333333333332</v>
      </c>
      <c r="K115">
        <f t="shared" si="7"/>
        <v>0.10120750000000001</v>
      </c>
      <c r="M115">
        <f t="shared" si="7"/>
        <v>-0.85685</v>
      </c>
      <c r="O115">
        <f t="shared" si="7"/>
        <v>268.27500000000003</v>
      </c>
      <c r="P115">
        <f t="shared" si="7"/>
        <v>0.550925</v>
      </c>
      <c r="Q115">
        <f t="shared" si="7"/>
        <v>0.54749166666666671</v>
      </c>
      <c r="R115">
        <f t="shared" si="7"/>
        <v>1.4239999999999997</v>
      </c>
      <c r="T115">
        <f t="shared" si="7"/>
        <v>2.0333333333333346E-2</v>
      </c>
    </row>
    <row r="116" spans="1:20" x14ac:dyDescent="0.25">
      <c r="A116" s="12" t="s">
        <v>124</v>
      </c>
      <c r="B116">
        <f>AVERAGE(B98:B112)</f>
        <v>0.11076166666666669</v>
      </c>
      <c r="D116">
        <f t="shared" ref="D116:T116" si="8">AVERAGE(D98:D112)</f>
        <v>1.9886666666666668</v>
      </c>
      <c r="F116">
        <f t="shared" si="8"/>
        <v>274.19166666666666</v>
      </c>
      <c r="G116">
        <f t="shared" si="8"/>
        <v>0.54478333333333329</v>
      </c>
      <c r="H116">
        <f t="shared" si="8"/>
        <v>0.54128333333333334</v>
      </c>
      <c r="I116">
        <f t="shared" si="8"/>
        <v>1.4440833333333334</v>
      </c>
      <c r="K116">
        <f t="shared" si="8"/>
        <v>0.11167666666666669</v>
      </c>
      <c r="M116">
        <f t="shared" si="8"/>
        <v>-0.8604166666666665</v>
      </c>
      <c r="O116">
        <f t="shared" si="8"/>
        <v>310.22499999999997</v>
      </c>
      <c r="P116">
        <f t="shared" si="8"/>
        <v>0.48524166666666674</v>
      </c>
      <c r="Q116">
        <f t="shared" si="8"/>
        <v>0.48129166666666667</v>
      </c>
      <c r="R116">
        <f t="shared" si="8"/>
        <v>1.5359999999999998</v>
      </c>
      <c r="T116">
        <f t="shared" si="8"/>
        <v>5.954166666666668E-2</v>
      </c>
    </row>
  </sheetData>
  <phoneticPr fontId="3" type="noConversion"/>
  <pageMargins left="0.7" right="0.7" top="0.75" bottom="0.75" header="0.3" footer="0.3"/>
  <pageSetup paperSize="9" orientation="portrait" r:id="rId1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320"/>
  <sheetViews>
    <sheetView tabSelected="1" workbookViewId="0">
      <pane ySplit="1" topLeftCell="A248" activePane="bottomLeft" state="frozen"/>
      <selection pane="bottomLeft" activeCell="G258" sqref="G258"/>
    </sheetView>
  </sheetViews>
  <sheetFormatPr defaultColWidth="8.875" defaultRowHeight="16.5" x14ac:dyDescent="0.25"/>
  <cols>
    <col min="1" max="1" width="13.5" style="42" customWidth="1"/>
    <col min="4" max="5" width="8.875" style="18"/>
    <col min="8" max="9" width="8.875" style="18"/>
    <col min="12" max="13" width="8.875" style="18"/>
    <col min="16" max="17" width="8.875" style="18"/>
  </cols>
  <sheetData>
    <row r="1" spans="1:26" s="15" customFormat="1" x14ac:dyDescent="0.25">
      <c r="B1" s="44" t="s">
        <v>138</v>
      </c>
      <c r="C1" s="44"/>
      <c r="D1" s="45" t="s">
        <v>139</v>
      </c>
      <c r="E1" s="45"/>
      <c r="F1" s="44" t="s">
        <v>140</v>
      </c>
      <c r="G1" s="44"/>
      <c r="H1" s="45" t="s">
        <v>141</v>
      </c>
      <c r="I1" s="45"/>
      <c r="J1" s="44" t="s">
        <v>142</v>
      </c>
      <c r="K1" s="44"/>
      <c r="L1" s="45" t="s">
        <v>143</v>
      </c>
      <c r="M1" s="45"/>
      <c r="N1" s="44" t="s">
        <v>144</v>
      </c>
      <c r="O1" s="44"/>
      <c r="P1" s="45" t="s">
        <v>145</v>
      </c>
      <c r="Q1" s="26"/>
      <c r="W1" s="16" t="s">
        <v>130</v>
      </c>
      <c r="X1" s="16" t="s">
        <v>128</v>
      </c>
      <c r="Y1" s="16" t="s">
        <v>131</v>
      </c>
      <c r="Z1" s="16" t="s">
        <v>132</v>
      </c>
    </row>
    <row r="2" spans="1:26" s="15" customFormat="1" x14ac:dyDescent="0.25">
      <c r="A2" s="43" t="s">
        <v>136</v>
      </c>
      <c r="B2" s="38" t="s">
        <v>19</v>
      </c>
      <c r="C2" s="34" t="s">
        <v>133</v>
      </c>
      <c r="D2" s="29" t="s">
        <v>19</v>
      </c>
      <c r="E2" s="35" t="s">
        <v>133</v>
      </c>
      <c r="F2" s="33" t="s">
        <v>19</v>
      </c>
      <c r="G2" s="34" t="s">
        <v>133</v>
      </c>
      <c r="H2" s="29" t="s">
        <v>19</v>
      </c>
      <c r="I2" s="35" t="s">
        <v>133</v>
      </c>
      <c r="J2" s="33" t="s">
        <v>19</v>
      </c>
      <c r="K2" s="34" t="s">
        <v>133</v>
      </c>
      <c r="L2" s="29" t="s">
        <v>19</v>
      </c>
      <c r="M2" s="35" t="s">
        <v>133</v>
      </c>
      <c r="N2" s="33" t="s">
        <v>19</v>
      </c>
      <c r="O2" s="34" t="s">
        <v>133</v>
      </c>
      <c r="P2" s="29" t="s">
        <v>19</v>
      </c>
      <c r="Q2" s="35" t="s">
        <v>133</v>
      </c>
    </row>
    <row r="3" spans="1:26" x14ac:dyDescent="0.25">
      <c r="B3" s="39" t="s">
        <v>134</v>
      </c>
      <c r="C3" s="22">
        <v>0.1351</v>
      </c>
      <c r="D3" s="29" t="s">
        <v>134</v>
      </c>
      <c r="E3" s="18">
        <v>0.13780000000000001</v>
      </c>
      <c r="F3" s="21" t="s">
        <v>134</v>
      </c>
      <c r="G3">
        <v>0.1212</v>
      </c>
      <c r="H3" s="29" t="s">
        <v>134</v>
      </c>
      <c r="I3" s="18">
        <v>0.1087</v>
      </c>
      <c r="J3" s="21" t="s">
        <v>134</v>
      </c>
      <c r="K3">
        <v>0.10299999999999999</v>
      </c>
      <c r="L3" s="29" t="s">
        <v>134</v>
      </c>
      <c r="M3" s="18">
        <v>0.13</v>
      </c>
      <c r="N3" s="21" t="s">
        <v>134</v>
      </c>
      <c r="O3">
        <v>0.1132</v>
      </c>
      <c r="P3" s="29" t="s">
        <v>134</v>
      </c>
      <c r="Q3" s="17">
        <v>7.6340000000000005E-2</v>
      </c>
    </row>
    <row r="4" spans="1:26" s="32" customFormat="1" x14ac:dyDescent="0.25">
      <c r="A4" s="37" t="s">
        <v>1</v>
      </c>
      <c r="B4" s="40" t="s">
        <v>135</v>
      </c>
      <c r="C4" s="24">
        <v>1.3460000000000001</v>
      </c>
      <c r="D4" s="30" t="s">
        <v>135</v>
      </c>
      <c r="E4" s="31">
        <v>0.84740000000000004</v>
      </c>
      <c r="F4" s="23" t="s">
        <v>135</v>
      </c>
      <c r="G4" s="24">
        <v>1.3140000000000001</v>
      </c>
      <c r="H4" s="30" t="s">
        <v>135</v>
      </c>
      <c r="I4" s="25">
        <v>1.9350000000000001</v>
      </c>
      <c r="J4" s="23" t="s">
        <v>135</v>
      </c>
      <c r="K4" s="24">
        <v>2.1680000000000001</v>
      </c>
      <c r="L4" s="30" t="s">
        <v>135</v>
      </c>
      <c r="M4" s="25">
        <v>1.87</v>
      </c>
      <c r="N4" s="23" t="s">
        <v>135</v>
      </c>
      <c r="O4" s="32">
        <v>2.2669999999999999</v>
      </c>
      <c r="P4" s="30" t="s">
        <v>135</v>
      </c>
      <c r="Q4" s="25">
        <v>1.9219999999999999</v>
      </c>
    </row>
    <row r="5" spans="1:26" x14ac:dyDescent="0.25">
      <c r="A5" s="42">
        <v>1</v>
      </c>
      <c r="B5">
        <f>($C$3*A5)+$C$4</f>
        <v>1.4811000000000001</v>
      </c>
      <c r="D5" s="18">
        <f>($E$3*$A5)+$E$4</f>
        <v>0.98520000000000008</v>
      </c>
      <c r="F5">
        <f>($G$3*$A5)+$G$4</f>
        <v>1.4352</v>
      </c>
      <c r="H5" s="18">
        <f>($I$3*$A5)+$I$4</f>
        <v>2.0436999999999999</v>
      </c>
      <c r="J5">
        <f>($K$3*$A5)+$K$4</f>
        <v>2.2710000000000004</v>
      </c>
      <c r="L5" s="18">
        <f>($M$3*$A5)+$M$4</f>
        <v>2</v>
      </c>
      <c r="N5">
        <f>($O$3*$A5)+$O$4</f>
        <v>2.3801999999999999</v>
      </c>
      <c r="P5" s="18">
        <f>($Q$3*$A5)+$Q$4</f>
        <v>1.99834</v>
      </c>
    </row>
    <row r="6" spans="1:26" x14ac:dyDescent="0.25">
      <c r="A6" s="42">
        <f>A5+1</f>
        <v>2</v>
      </c>
      <c r="B6">
        <f t="shared" ref="B6:B36" si="0">($C$3*A6)+$C$4</f>
        <v>1.6162000000000001</v>
      </c>
      <c r="D6" s="18">
        <f t="shared" ref="D6:D54" si="1">($E$3*$A6)+$E$4</f>
        <v>1.123</v>
      </c>
      <c r="F6">
        <f t="shared" ref="F6:F54" si="2">($G$3*$A6)+$G$4</f>
        <v>1.5564</v>
      </c>
      <c r="H6" s="18">
        <f t="shared" ref="H6:H54" si="3">($I$3*$A6)+$I$4</f>
        <v>2.1524000000000001</v>
      </c>
      <c r="J6">
        <f t="shared" ref="J6:J54" si="4">($K$3*$A6)+$K$4</f>
        <v>2.3740000000000001</v>
      </c>
      <c r="L6" s="18">
        <f t="shared" ref="L6:L54" si="5">($M$3*$A6)+$M$4</f>
        <v>2.13</v>
      </c>
      <c r="N6">
        <f t="shared" ref="N6:N54" si="6">($O$3*$A6)+$O$4</f>
        <v>2.4933999999999998</v>
      </c>
      <c r="P6" s="18">
        <f t="shared" ref="P6:P21" si="7">($Q$3*$A6)+$Q$4</f>
        <v>2.0746799999999999</v>
      </c>
    </row>
    <row r="7" spans="1:26" x14ac:dyDescent="0.25">
      <c r="A7" s="42">
        <f t="shared" ref="A7:A73" si="8">A6+1</f>
        <v>3</v>
      </c>
      <c r="B7">
        <f t="shared" si="0"/>
        <v>1.7513000000000001</v>
      </c>
      <c r="D7" s="18">
        <f t="shared" si="1"/>
        <v>1.2608000000000001</v>
      </c>
      <c r="F7">
        <f t="shared" si="2"/>
        <v>1.6776</v>
      </c>
      <c r="H7" s="18">
        <f t="shared" si="3"/>
        <v>2.2610999999999999</v>
      </c>
      <c r="J7">
        <f t="shared" si="4"/>
        <v>2.4770000000000003</v>
      </c>
      <c r="L7" s="18">
        <f t="shared" si="5"/>
        <v>2.2600000000000002</v>
      </c>
      <c r="N7">
        <f t="shared" si="6"/>
        <v>2.6065999999999998</v>
      </c>
      <c r="P7" s="18">
        <f t="shared" si="7"/>
        <v>2.1510199999999999</v>
      </c>
    </row>
    <row r="8" spans="1:26" x14ac:dyDescent="0.25">
      <c r="A8" s="42">
        <f t="shared" si="8"/>
        <v>4</v>
      </c>
      <c r="B8">
        <f t="shared" si="0"/>
        <v>1.8864000000000001</v>
      </c>
      <c r="D8" s="18">
        <f t="shared" si="1"/>
        <v>1.3986000000000001</v>
      </c>
      <c r="F8">
        <f t="shared" si="2"/>
        <v>1.7988</v>
      </c>
      <c r="H8" s="18">
        <f t="shared" si="3"/>
        <v>2.3698000000000001</v>
      </c>
      <c r="J8">
        <f t="shared" si="4"/>
        <v>2.58</v>
      </c>
      <c r="L8" s="18">
        <f t="shared" si="5"/>
        <v>2.39</v>
      </c>
      <c r="N8">
        <f t="shared" si="6"/>
        <v>2.7197999999999998</v>
      </c>
      <c r="P8" s="18">
        <f t="shared" si="7"/>
        <v>2.22736</v>
      </c>
    </row>
    <row r="9" spans="1:26" x14ac:dyDescent="0.25">
      <c r="A9" s="42">
        <f t="shared" si="8"/>
        <v>5</v>
      </c>
      <c r="B9">
        <f t="shared" si="0"/>
        <v>2.0215000000000001</v>
      </c>
      <c r="D9" s="18">
        <f t="shared" si="1"/>
        <v>1.5364</v>
      </c>
      <c r="F9">
        <f t="shared" si="2"/>
        <v>1.92</v>
      </c>
      <c r="H9" s="18">
        <f t="shared" si="3"/>
        <v>2.4784999999999999</v>
      </c>
      <c r="J9">
        <f t="shared" si="4"/>
        <v>2.6830000000000003</v>
      </c>
      <c r="L9" s="18">
        <f t="shared" si="5"/>
        <v>2.52</v>
      </c>
      <c r="N9">
        <f t="shared" si="6"/>
        <v>2.8329999999999997</v>
      </c>
      <c r="P9" s="18">
        <f t="shared" si="7"/>
        <v>2.3037000000000001</v>
      </c>
    </row>
    <row r="10" spans="1:26" x14ac:dyDescent="0.25">
      <c r="A10" s="42">
        <f t="shared" si="8"/>
        <v>6</v>
      </c>
      <c r="B10">
        <f t="shared" si="0"/>
        <v>2.1566000000000001</v>
      </c>
      <c r="D10" s="18">
        <f t="shared" si="1"/>
        <v>1.6741999999999999</v>
      </c>
      <c r="F10">
        <f t="shared" si="2"/>
        <v>2.0411999999999999</v>
      </c>
      <c r="H10" s="18">
        <f t="shared" si="3"/>
        <v>2.5872000000000002</v>
      </c>
      <c r="J10">
        <f t="shared" si="4"/>
        <v>2.786</v>
      </c>
      <c r="L10" s="18">
        <f t="shared" si="5"/>
        <v>2.6500000000000004</v>
      </c>
      <c r="N10">
        <f t="shared" si="6"/>
        <v>2.9462000000000002</v>
      </c>
      <c r="P10" s="18">
        <f t="shared" si="7"/>
        <v>2.3800400000000002</v>
      </c>
    </row>
    <row r="11" spans="1:26" x14ac:dyDescent="0.25">
      <c r="A11" s="42">
        <f t="shared" si="8"/>
        <v>7</v>
      </c>
      <c r="B11">
        <f t="shared" si="0"/>
        <v>2.2917000000000001</v>
      </c>
      <c r="D11" s="18">
        <f t="shared" si="1"/>
        <v>1.8120000000000001</v>
      </c>
      <c r="F11">
        <f t="shared" si="2"/>
        <v>2.1623999999999999</v>
      </c>
      <c r="H11" s="18">
        <f t="shared" si="3"/>
        <v>2.6959</v>
      </c>
      <c r="J11">
        <f t="shared" si="4"/>
        <v>2.8890000000000002</v>
      </c>
      <c r="L11" s="18">
        <f t="shared" si="5"/>
        <v>2.7800000000000002</v>
      </c>
      <c r="N11">
        <f t="shared" si="6"/>
        <v>3.0594000000000001</v>
      </c>
      <c r="P11" s="18">
        <f t="shared" si="7"/>
        <v>2.4563800000000002</v>
      </c>
    </row>
    <row r="12" spans="1:26" x14ac:dyDescent="0.25">
      <c r="A12" s="42">
        <f t="shared" si="8"/>
        <v>8</v>
      </c>
      <c r="B12">
        <f t="shared" si="0"/>
        <v>2.4268000000000001</v>
      </c>
      <c r="D12" s="18">
        <f t="shared" si="1"/>
        <v>1.9498000000000002</v>
      </c>
      <c r="F12">
        <f t="shared" si="2"/>
        <v>2.2835999999999999</v>
      </c>
      <c r="H12" s="18">
        <f t="shared" si="3"/>
        <v>2.8046000000000002</v>
      </c>
      <c r="J12">
        <f t="shared" si="4"/>
        <v>2.992</v>
      </c>
      <c r="L12" s="18">
        <f t="shared" si="5"/>
        <v>2.91</v>
      </c>
      <c r="N12">
        <f t="shared" si="6"/>
        <v>3.1726000000000001</v>
      </c>
      <c r="P12" s="18">
        <f t="shared" si="7"/>
        <v>2.5327199999999999</v>
      </c>
    </row>
    <row r="13" spans="1:26" x14ac:dyDescent="0.25">
      <c r="A13" s="42">
        <f t="shared" si="8"/>
        <v>9</v>
      </c>
      <c r="B13">
        <f t="shared" si="0"/>
        <v>2.5619000000000001</v>
      </c>
      <c r="D13" s="18">
        <f t="shared" si="1"/>
        <v>2.0876000000000001</v>
      </c>
      <c r="F13">
        <f t="shared" si="2"/>
        <v>2.4047999999999998</v>
      </c>
      <c r="H13" s="18">
        <f t="shared" si="3"/>
        <v>2.9133</v>
      </c>
      <c r="J13">
        <f t="shared" si="4"/>
        <v>3.0950000000000002</v>
      </c>
      <c r="L13" s="18">
        <f t="shared" si="5"/>
        <v>3.04</v>
      </c>
      <c r="N13">
        <f t="shared" si="6"/>
        <v>3.2858000000000001</v>
      </c>
      <c r="P13" s="18">
        <f t="shared" si="7"/>
        <v>2.6090599999999999</v>
      </c>
    </row>
    <row r="14" spans="1:26" x14ac:dyDescent="0.25">
      <c r="A14" s="42">
        <f t="shared" si="8"/>
        <v>10</v>
      </c>
      <c r="B14">
        <f t="shared" si="0"/>
        <v>2.6970000000000001</v>
      </c>
      <c r="D14" s="18">
        <f t="shared" si="1"/>
        <v>2.2254</v>
      </c>
      <c r="F14">
        <f t="shared" si="2"/>
        <v>2.5259999999999998</v>
      </c>
      <c r="H14" s="18">
        <f t="shared" si="3"/>
        <v>3.0220000000000002</v>
      </c>
      <c r="J14">
        <f t="shared" si="4"/>
        <v>3.1980000000000004</v>
      </c>
      <c r="L14" s="18">
        <f t="shared" si="5"/>
        <v>3.17</v>
      </c>
      <c r="N14">
        <f t="shared" si="6"/>
        <v>3.399</v>
      </c>
      <c r="P14" s="18">
        <f t="shared" si="7"/>
        <v>2.6854</v>
      </c>
    </row>
    <row r="15" spans="1:26" x14ac:dyDescent="0.25">
      <c r="A15" s="42">
        <f t="shared" si="8"/>
        <v>11</v>
      </c>
      <c r="B15">
        <f t="shared" si="0"/>
        <v>2.8321000000000001</v>
      </c>
      <c r="D15" s="18">
        <f t="shared" si="1"/>
        <v>2.3632</v>
      </c>
      <c r="F15">
        <f t="shared" si="2"/>
        <v>2.6471999999999998</v>
      </c>
      <c r="H15" s="18">
        <f t="shared" si="3"/>
        <v>3.1307</v>
      </c>
      <c r="J15">
        <f t="shared" si="4"/>
        <v>3.3010000000000002</v>
      </c>
      <c r="L15" s="18">
        <f t="shared" si="5"/>
        <v>3.3000000000000003</v>
      </c>
      <c r="N15">
        <f>($O$3*$A15)+$O$4</f>
        <v>3.5122</v>
      </c>
      <c r="P15" s="18">
        <f>($Q$3*$A15)+$Q$4</f>
        <v>2.7617400000000001</v>
      </c>
    </row>
    <row r="16" spans="1:26" x14ac:dyDescent="0.25">
      <c r="A16" s="42">
        <f t="shared" si="8"/>
        <v>12</v>
      </c>
      <c r="B16">
        <f t="shared" si="0"/>
        <v>2.9672000000000001</v>
      </c>
      <c r="D16" s="18">
        <f t="shared" si="1"/>
        <v>2.5009999999999999</v>
      </c>
      <c r="F16">
        <f t="shared" si="2"/>
        <v>2.7684000000000002</v>
      </c>
      <c r="H16" s="18">
        <f t="shared" si="3"/>
        <v>3.2393999999999998</v>
      </c>
      <c r="J16">
        <f t="shared" si="4"/>
        <v>3.4039999999999999</v>
      </c>
      <c r="L16" s="18">
        <f t="shared" si="5"/>
        <v>3.43</v>
      </c>
      <c r="N16">
        <f t="shared" si="6"/>
        <v>3.6254</v>
      </c>
      <c r="P16" s="18">
        <f t="shared" si="7"/>
        <v>2.8380799999999997</v>
      </c>
    </row>
    <row r="17" spans="1:16" x14ac:dyDescent="0.25">
      <c r="A17" s="42">
        <f t="shared" si="8"/>
        <v>13</v>
      </c>
      <c r="B17">
        <f t="shared" si="0"/>
        <v>3.1023000000000001</v>
      </c>
      <c r="D17" s="18">
        <f t="shared" si="1"/>
        <v>2.6388000000000003</v>
      </c>
      <c r="F17">
        <f t="shared" si="2"/>
        <v>2.8896000000000002</v>
      </c>
      <c r="H17" s="18">
        <f t="shared" si="3"/>
        <v>3.3481000000000001</v>
      </c>
      <c r="J17">
        <f t="shared" si="4"/>
        <v>3.5070000000000001</v>
      </c>
      <c r="L17" s="18">
        <f t="shared" si="5"/>
        <v>3.56</v>
      </c>
      <c r="N17">
        <f t="shared" si="6"/>
        <v>3.7385999999999999</v>
      </c>
      <c r="P17" s="18">
        <f t="shared" si="7"/>
        <v>2.9144199999999998</v>
      </c>
    </row>
    <row r="18" spans="1:16" x14ac:dyDescent="0.25">
      <c r="A18" s="42">
        <f t="shared" si="8"/>
        <v>14</v>
      </c>
      <c r="B18">
        <f t="shared" si="0"/>
        <v>3.2374000000000001</v>
      </c>
      <c r="D18" s="18">
        <f t="shared" si="1"/>
        <v>2.7766000000000002</v>
      </c>
      <c r="F18">
        <f t="shared" si="2"/>
        <v>3.0108000000000001</v>
      </c>
      <c r="H18" s="18">
        <f t="shared" si="3"/>
        <v>3.4568000000000003</v>
      </c>
      <c r="J18">
        <f t="shared" si="4"/>
        <v>3.6100000000000003</v>
      </c>
      <c r="L18" s="18">
        <f t="shared" si="5"/>
        <v>3.6900000000000004</v>
      </c>
      <c r="N18">
        <f t="shared" si="6"/>
        <v>3.8517999999999999</v>
      </c>
      <c r="P18" s="18">
        <f t="shared" si="7"/>
        <v>2.9907599999999999</v>
      </c>
    </row>
    <row r="19" spans="1:16" x14ac:dyDescent="0.25">
      <c r="A19" s="42">
        <f t="shared" si="8"/>
        <v>15</v>
      </c>
      <c r="B19">
        <f t="shared" si="0"/>
        <v>3.3725000000000001</v>
      </c>
      <c r="D19" s="18">
        <f t="shared" si="1"/>
        <v>2.9144000000000001</v>
      </c>
      <c r="F19">
        <f t="shared" si="2"/>
        <v>3.1320000000000001</v>
      </c>
      <c r="H19" s="18">
        <f t="shared" si="3"/>
        <v>3.5655000000000001</v>
      </c>
      <c r="J19">
        <f t="shared" si="4"/>
        <v>3.7130000000000001</v>
      </c>
      <c r="L19" s="18">
        <f t="shared" si="5"/>
        <v>3.8200000000000003</v>
      </c>
      <c r="N19">
        <f t="shared" si="6"/>
        <v>3.9649999999999999</v>
      </c>
      <c r="P19" s="18">
        <f t="shared" si="7"/>
        <v>3.0670999999999999</v>
      </c>
    </row>
    <row r="20" spans="1:16" x14ac:dyDescent="0.25">
      <c r="A20" s="42">
        <f t="shared" si="8"/>
        <v>16</v>
      </c>
      <c r="B20">
        <f t="shared" si="0"/>
        <v>3.5076000000000001</v>
      </c>
      <c r="D20" s="18">
        <f t="shared" si="1"/>
        <v>3.0522</v>
      </c>
      <c r="F20">
        <f t="shared" si="2"/>
        <v>3.2532000000000001</v>
      </c>
      <c r="H20" s="18">
        <f t="shared" si="3"/>
        <v>3.6741999999999999</v>
      </c>
      <c r="J20">
        <f t="shared" si="4"/>
        <v>3.8159999999999998</v>
      </c>
      <c r="L20" s="18">
        <f t="shared" si="5"/>
        <v>3.95</v>
      </c>
      <c r="N20">
        <f t="shared" si="6"/>
        <v>4.0781999999999998</v>
      </c>
      <c r="P20" s="18">
        <f t="shared" si="7"/>
        <v>3.14344</v>
      </c>
    </row>
    <row r="21" spans="1:16" x14ac:dyDescent="0.25">
      <c r="A21" s="42">
        <f t="shared" si="8"/>
        <v>17</v>
      </c>
      <c r="B21">
        <f t="shared" si="0"/>
        <v>3.6427</v>
      </c>
      <c r="D21" s="18">
        <f t="shared" si="1"/>
        <v>3.19</v>
      </c>
      <c r="F21">
        <f t="shared" si="2"/>
        <v>3.3744000000000001</v>
      </c>
      <c r="H21" s="18">
        <f t="shared" si="3"/>
        <v>3.7829000000000002</v>
      </c>
      <c r="J21">
        <f t="shared" si="4"/>
        <v>3.919</v>
      </c>
      <c r="L21" s="18">
        <f t="shared" si="5"/>
        <v>4.08</v>
      </c>
      <c r="N21">
        <f t="shared" si="6"/>
        <v>4.1913999999999998</v>
      </c>
      <c r="P21" s="18">
        <f t="shared" si="7"/>
        <v>3.2197800000000001</v>
      </c>
    </row>
    <row r="22" spans="1:16" x14ac:dyDescent="0.25">
      <c r="A22" s="42">
        <f t="shared" si="8"/>
        <v>18</v>
      </c>
      <c r="B22">
        <f t="shared" si="0"/>
        <v>3.7778</v>
      </c>
      <c r="D22" s="18">
        <f t="shared" si="1"/>
        <v>3.3277999999999999</v>
      </c>
      <c r="F22">
        <f t="shared" si="2"/>
        <v>3.4956</v>
      </c>
      <c r="H22" s="18">
        <f t="shared" si="3"/>
        <v>3.8916000000000004</v>
      </c>
      <c r="J22">
        <f t="shared" si="4"/>
        <v>4.0220000000000002</v>
      </c>
      <c r="L22" s="18">
        <f t="shared" si="5"/>
        <v>4.21</v>
      </c>
      <c r="N22">
        <f t="shared" si="6"/>
        <v>4.3045999999999998</v>
      </c>
      <c r="P22" s="18">
        <f t="shared" ref="P22:P53" si="9">($Q$3*$A22)+$Q$4</f>
        <v>3.2961200000000002</v>
      </c>
    </row>
    <row r="23" spans="1:16" x14ac:dyDescent="0.25">
      <c r="A23" s="42">
        <f t="shared" si="8"/>
        <v>19</v>
      </c>
      <c r="B23">
        <f t="shared" si="0"/>
        <v>3.9129</v>
      </c>
      <c r="D23" s="18">
        <f t="shared" si="1"/>
        <v>3.4656000000000002</v>
      </c>
      <c r="F23">
        <f t="shared" si="2"/>
        <v>3.6168</v>
      </c>
      <c r="H23" s="18">
        <f t="shared" si="3"/>
        <v>4.0003000000000002</v>
      </c>
      <c r="J23">
        <f t="shared" si="4"/>
        <v>4.125</v>
      </c>
      <c r="L23" s="18">
        <f t="shared" si="5"/>
        <v>4.34</v>
      </c>
      <c r="N23">
        <f t="shared" si="6"/>
        <v>4.4177999999999997</v>
      </c>
      <c r="P23" s="18">
        <f t="shared" si="9"/>
        <v>3.3724600000000002</v>
      </c>
    </row>
    <row r="24" spans="1:16" x14ac:dyDescent="0.25">
      <c r="A24" s="42">
        <f t="shared" si="8"/>
        <v>20</v>
      </c>
      <c r="B24">
        <f t="shared" si="0"/>
        <v>4.048</v>
      </c>
      <c r="D24" s="18">
        <f t="shared" si="1"/>
        <v>3.6034000000000002</v>
      </c>
      <c r="F24">
        <f t="shared" si="2"/>
        <v>3.738</v>
      </c>
      <c r="H24" s="18">
        <f t="shared" si="3"/>
        <v>4.109</v>
      </c>
      <c r="J24">
        <f t="shared" si="4"/>
        <v>4.2279999999999998</v>
      </c>
      <c r="L24" s="18">
        <f t="shared" si="5"/>
        <v>4.4700000000000006</v>
      </c>
      <c r="N24">
        <f t="shared" si="6"/>
        <v>4.5309999999999997</v>
      </c>
      <c r="P24" s="18">
        <f t="shared" si="9"/>
        <v>3.4488000000000003</v>
      </c>
    </row>
    <row r="25" spans="1:16" x14ac:dyDescent="0.25">
      <c r="A25" s="42">
        <f t="shared" si="8"/>
        <v>21</v>
      </c>
      <c r="B25">
        <f t="shared" si="0"/>
        <v>4.1830999999999996</v>
      </c>
      <c r="D25" s="18">
        <f t="shared" si="1"/>
        <v>3.7412000000000001</v>
      </c>
      <c r="F25">
        <f t="shared" si="2"/>
        <v>3.8592</v>
      </c>
      <c r="H25" s="18">
        <f t="shared" si="3"/>
        <v>4.2177000000000007</v>
      </c>
      <c r="J25">
        <f t="shared" si="4"/>
        <v>4.3309999999999995</v>
      </c>
      <c r="L25" s="18">
        <f t="shared" si="5"/>
        <v>4.5999999999999996</v>
      </c>
      <c r="N25">
        <f t="shared" si="6"/>
        <v>4.6441999999999997</v>
      </c>
      <c r="P25" s="18">
        <f t="shared" si="9"/>
        <v>3.5251399999999999</v>
      </c>
    </row>
    <row r="26" spans="1:16" x14ac:dyDescent="0.25">
      <c r="A26" s="42">
        <f t="shared" si="8"/>
        <v>22</v>
      </c>
      <c r="B26">
        <f t="shared" si="0"/>
        <v>4.3182</v>
      </c>
      <c r="D26" s="18">
        <f t="shared" si="1"/>
        <v>3.879</v>
      </c>
      <c r="F26">
        <f t="shared" si="2"/>
        <v>3.9803999999999999</v>
      </c>
      <c r="H26" s="18">
        <f t="shared" si="3"/>
        <v>4.3263999999999996</v>
      </c>
      <c r="J26">
        <f t="shared" si="4"/>
        <v>4.4340000000000002</v>
      </c>
      <c r="L26" s="18">
        <f t="shared" si="5"/>
        <v>4.7300000000000004</v>
      </c>
      <c r="N26">
        <f t="shared" si="6"/>
        <v>4.7573999999999996</v>
      </c>
      <c r="P26" s="18">
        <f t="shared" si="9"/>
        <v>3.60148</v>
      </c>
    </row>
    <row r="27" spans="1:16" x14ac:dyDescent="0.25">
      <c r="A27" s="42">
        <f t="shared" si="8"/>
        <v>23</v>
      </c>
      <c r="B27">
        <f t="shared" si="0"/>
        <v>4.4533000000000005</v>
      </c>
      <c r="D27" s="18">
        <f t="shared" si="1"/>
        <v>4.0167999999999999</v>
      </c>
      <c r="F27">
        <f t="shared" si="2"/>
        <v>4.1015999999999995</v>
      </c>
      <c r="H27" s="18">
        <f t="shared" si="3"/>
        <v>4.4351000000000003</v>
      </c>
      <c r="J27">
        <f t="shared" si="4"/>
        <v>4.5369999999999999</v>
      </c>
      <c r="L27" s="18">
        <f t="shared" si="5"/>
        <v>4.8600000000000003</v>
      </c>
      <c r="N27">
        <f t="shared" si="6"/>
        <v>4.8705999999999996</v>
      </c>
      <c r="P27" s="18">
        <f t="shared" si="9"/>
        <v>3.6778200000000001</v>
      </c>
    </row>
    <row r="28" spans="1:16" x14ac:dyDescent="0.25">
      <c r="A28" s="42">
        <f t="shared" si="8"/>
        <v>24</v>
      </c>
      <c r="B28">
        <f t="shared" si="0"/>
        <v>4.5884</v>
      </c>
      <c r="D28" s="18">
        <f t="shared" si="1"/>
        <v>4.1546000000000003</v>
      </c>
      <c r="F28">
        <f t="shared" si="2"/>
        <v>4.2228000000000003</v>
      </c>
      <c r="H28" s="18">
        <f t="shared" si="3"/>
        <v>4.5438000000000001</v>
      </c>
      <c r="J28">
        <f t="shared" si="4"/>
        <v>4.6400000000000006</v>
      </c>
      <c r="L28" s="18">
        <f t="shared" si="5"/>
        <v>4.99</v>
      </c>
      <c r="N28">
        <f t="shared" si="6"/>
        <v>4.9838000000000005</v>
      </c>
      <c r="P28" s="18">
        <f t="shared" si="9"/>
        <v>3.7541599999999997</v>
      </c>
    </row>
    <row r="29" spans="1:16" x14ac:dyDescent="0.25">
      <c r="A29" s="42">
        <f t="shared" si="8"/>
        <v>25</v>
      </c>
      <c r="B29">
        <f t="shared" si="0"/>
        <v>4.7234999999999996</v>
      </c>
      <c r="D29" s="18">
        <f t="shared" si="1"/>
        <v>4.2924000000000007</v>
      </c>
      <c r="F29">
        <f t="shared" si="2"/>
        <v>4.3440000000000003</v>
      </c>
      <c r="H29" s="18">
        <f t="shared" si="3"/>
        <v>4.6524999999999999</v>
      </c>
      <c r="J29">
        <f t="shared" si="4"/>
        <v>4.7430000000000003</v>
      </c>
      <c r="L29" s="18">
        <f t="shared" si="5"/>
        <v>5.12</v>
      </c>
      <c r="N29">
        <f t="shared" si="6"/>
        <v>5.0969999999999995</v>
      </c>
      <c r="P29" s="18">
        <f t="shared" si="9"/>
        <v>3.8304999999999998</v>
      </c>
    </row>
    <row r="30" spans="1:16" x14ac:dyDescent="0.25">
      <c r="A30" s="42">
        <f t="shared" si="8"/>
        <v>26</v>
      </c>
      <c r="B30">
        <f t="shared" si="0"/>
        <v>4.8586</v>
      </c>
      <c r="D30" s="18">
        <f t="shared" si="1"/>
        <v>4.4302000000000001</v>
      </c>
      <c r="F30">
        <f t="shared" si="2"/>
        <v>4.4652000000000003</v>
      </c>
      <c r="H30" s="18">
        <f t="shared" si="3"/>
        <v>4.7612000000000005</v>
      </c>
      <c r="J30">
        <f t="shared" si="4"/>
        <v>4.8460000000000001</v>
      </c>
      <c r="L30" s="18">
        <f t="shared" si="5"/>
        <v>5.25</v>
      </c>
      <c r="N30">
        <f t="shared" si="6"/>
        <v>5.2102000000000004</v>
      </c>
      <c r="P30" s="18">
        <f t="shared" si="9"/>
        <v>3.9068399999999999</v>
      </c>
    </row>
    <row r="31" spans="1:16" x14ac:dyDescent="0.25">
      <c r="A31" s="42">
        <f t="shared" si="8"/>
        <v>27</v>
      </c>
      <c r="B31">
        <f t="shared" si="0"/>
        <v>4.9937000000000005</v>
      </c>
      <c r="D31" s="18">
        <f t="shared" si="1"/>
        <v>4.5680000000000005</v>
      </c>
      <c r="F31">
        <f t="shared" si="2"/>
        <v>4.5864000000000003</v>
      </c>
      <c r="H31" s="18">
        <f t="shared" si="3"/>
        <v>4.8699000000000003</v>
      </c>
      <c r="J31">
        <f t="shared" si="4"/>
        <v>4.9489999999999998</v>
      </c>
      <c r="L31" s="18">
        <f t="shared" si="5"/>
        <v>5.3800000000000008</v>
      </c>
      <c r="N31">
        <f t="shared" si="6"/>
        <v>5.3233999999999995</v>
      </c>
      <c r="P31" s="18">
        <f t="shared" si="9"/>
        <v>3.9831799999999999</v>
      </c>
    </row>
    <row r="32" spans="1:16" x14ac:dyDescent="0.25">
      <c r="A32" s="42">
        <f t="shared" si="8"/>
        <v>28</v>
      </c>
      <c r="B32">
        <f t="shared" si="0"/>
        <v>5.1288</v>
      </c>
      <c r="D32" s="18">
        <f t="shared" si="1"/>
        <v>4.7058</v>
      </c>
      <c r="F32">
        <f t="shared" si="2"/>
        <v>4.7076000000000002</v>
      </c>
      <c r="H32" s="18">
        <f t="shared" si="3"/>
        <v>4.9786000000000001</v>
      </c>
      <c r="J32">
        <f t="shared" si="4"/>
        <v>5.0519999999999996</v>
      </c>
      <c r="L32" s="18">
        <f t="shared" si="5"/>
        <v>5.51</v>
      </c>
      <c r="N32">
        <f t="shared" si="6"/>
        <v>5.4366000000000003</v>
      </c>
      <c r="P32" s="18">
        <f t="shared" si="9"/>
        <v>4.05952</v>
      </c>
    </row>
    <row r="33" spans="1:16" x14ac:dyDescent="0.25">
      <c r="A33" s="42">
        <f t="shared" si="8"/>
        <v>29</v>
      </c>
      <c r="B33">
        <f t="shared" si="0"/>
        <v>5.2638999999999996</v>
      </c>
      <c r="D33" s="18">
        <f t="shared" si="1"/>
        <v>4.8436000000000003</v>
      </c>
      <c r="F33">
        <f t="shared" si="2"/>
        <v>4.8288000000000002</v>
      </c>
      <c r="H33" s="18">
        <f t="shared" si="3"/>
        <v>5.0873000000000008</v>
      </c>
      <c r="J33">
        <f t="shared" si="4"/>
        <v>5.1549999999999994</v>
      </c>
      <c r="L33" s="18">
        <f t="shared" si="5"/>
        <v>5.6400000000000006</v>
      </c>
      <c r="N33">
        <f t="shared" si="6"/>
        <v>5.5497999999999994</v>
      </c>
      <c r="P33" s="18">
        <f t="shared" si="9"/>
        <v>4.1358600000000001</v>
      </c>
    </row>
    <row r="34" spans="1:16" x14ac:dyDescent="0.25">
      <c r="A34" s="42">
        <f t="shared" si="8"/>
        <v>30</v>
      </c>
      <c r="B34">
        <f t="shared" si="0"/>
        <v>5.399</v>
      </c>
      <c r="D34" s="18">
        <f t="shared" si="1"/>
        <v>4.9814000000000007</v>
      </c>
      <c r="F34">
        <f t="shared" si="2"/>
        <v>4.95</v>
      </c>
      <c r="H34" s="18">
        <f t="shared" si="3"/>
        <v>5.1959999999999997</v>
      </c>
      <c r="J34">
        <f t="shared" si="4"/>
        <v>5.258</v>
      </c>
      <c r="L34" s="18">
        <f t="shared" si="5"/>
        <v>5.7700000000000005</v>
      </c>
      <c r="N34">
        <f t="shared" si="6"/>
        <v>5.6630000000000003</v>
      </c>
      <c r="P34" s="18">
        <f t="shared" si="9"/>
        <v>4.2122000000000002</v>
      </c>
    </row>
    <row r="35" spans="1:16" x14ac:dyDescent="0.25">
      <c r="A35" s="42">
        <f t="shared" si="8"/>
        <v>31</v>
      </c>
      <c r="B35">
        <f t="shared" si="0"/>
        <v>5.5341000000000005</v>
      </c>
      <c r="D35" s="18">
        <f t="shared" si="1"/>
        <v>5.1192000000000002</v>
      </c>
      <c r="F35">
        <f t="shared" si="2"/>
        <v>5.0712000000000002</v>
      </c>
      <c r="H35" s="18">
        <f t="shared" si="3"/>
        <v>5.3047000000000004</v>
      </c>
      <c r="J35">
        <f t="shared" si="4"/>
        <v>5.3609999999999998</v>
      </c>
      <c r="L35" s="18">
        <f t="shared" si="5"/>
        <v>5.9</v>
      </c>
      <c r="N35">
        <f t="shared" si="6"/>
        <v>5.7761999999999993</v>
      </c>
      <c r="P35" s="18">
        <f t="shared" si="9"/>
        <v>4.2885400000000002</v>
      </c>
    </row>
    <row r="36" spans="1:16" x14ac:dyDescent="0.25">
      <c r="A36" s="42">
        <f t="shared" si="8"/>
        <v>32</v>
      </c>
      <c r="B36">
        <f t="shared" si="0"/>
        <v>5.6692</v>
      </c>
      <c r="D36" s="18">
        <f t="shared" si="1"/>
        <v>5.2570000000000006</v>
      </c>
      <c r="F36">
        <f t="shared" si="2"/>
        <v>5.1924000000000001</v>
      </c>
      <c r="H36" s="18">
        <f t="shared" si="3"/>
        <v>5.4134000000000002</v>
      </c>
      <c r="J36">
        <f t="shared" si="4"/>
        <v>5.4640000000000004</v>
      </c>
      <c r="L36" s="18">
        <f t="shared" si="5"/>
        <v>6.03</v>
      </c>
      <c r="N36">
        <f t="shared" si="6"/>
        <v>5.8894000000000002</v>
      </c>
      <c r="P36" s="18">
        <f t="shared" si="9"/>
        <v>4.3648800000000003</v>
      </c>
    </row>
    <row r="37" spans="1:16" x14ac:dyDescent="0.25">
      <c r="A37" s="42">
        <f t="shared" si="8"/>
        <v>33</v>
      </c>
      <c r="B37">
        <f t="shared" ref="B37:B54" si="10">($C$3*A37)+$C$4</f>
        <v>5.8042999999999996</v>
      </c>
      <c r="D37" s="18">
        <f t="shared" si="1"/>
        <v>5.3948000000000009</v>
      </c>
      <c r="F37">
        <f t="shared" si="2"/>
        <v>5.3136000000000001</v>
      </c>
      <c r="H37" s="18">
        <f t="shared" si="3"/>
        <v>5.5221</v>
      </c>
      <c r="J37">
        <f t="shared" si="4"/>
        <v>5.5670000000000002</v>
      </c>
      <c r="L37" s="18">
        <f t="shared" si="5"/>
        <v>6.16</v>
      </c>
      <c r="N37">
        <f t="shared" si="6"/>
        <v>6.0025999999999993</v>
      </c>
      <c r="P37" s="18">
        <f t="shared" si="9"/>
        <v>4.4412200000000004</v>
      </c>
    </row>
    <row r="38" spans="1:16" x14ac:dyDescent="0.25">
      <c r="A38" s="42">
        <f t="shared" si="8"/>
        <v>34</v>
      </c>
      <c r="B38">
        <f t="shared" si="10"/>
        <v>5.9394</v>
      </c>
      <c r="D38" s="18">
        <f t="shared" si="1"/>
        <v>5.5326000000000004</v>
      </c>
      <c r="F38">
        <f t="shared" si="2"/>
        <v>5.4348000000000001</v>
      </c>
      <c r="H38" s="18">
        <f t="shared" si="3"/>
        <v>5.6308000000000007</v>
      </c>
      <c r="J38">
        <f t="shared" si="4"/>
        <v>5.67</v>
      </c>
      <c r="L38" s="18">
        <f t="shared" si="5"/>
        <v>6.29</v>
      </c>
      <c r="N38">
        <f t="shared" si="6"/>
        <v>6.1158000000000001</v>
      </c>
      <c r="P38" s="18">
        <f t="shared" si="9"/>
        <v>4.5175600000000005</v>
      </c>
    </row>
    <row r="39" spans="1:16" x14ac:dyDescent="0.25">
      <c r="A39" s="42">
        <f t="shared" si="8"/>
        <v>35</v>
      </c>
      <c r="B39">
        <f t="shared" si="10"/>
        <v>6.0745000000000005</v>
      </c>
      <c r="D39" s="18">
        <f t="shared" si="1"/>
        <v>5.6704000000000008</v>
      </c>
      <c r="F39">
        <f t="shared" si="2"/>
        <v>5.556</v>
      </c>
      <c r="H39" s="18">
        <f t="shared" si="3"/>
        <v>5.7394999999999996</v>
      </c>
      <c r="J39">
        <f t="shared" si="4"/>
        <v>5.7729999999999997</v>
      </c>
      <c r="L39" s="18">
        <f t="shared" si="5"/>
        <v>6.42</v>
      </c>
      <c r="N39">
        <f t="shared" si="6"/>
        <v>6.2289999999999992</v>
      </c>
      <c r="P39" s="18">
        <f t="shared" si="9"/>
        <v>4.5939000000000005</v>
      </c>
    </row>
    <row r="40" spans="1:16" x14ac:dyDescent="0.25">
      <c r="A40" s="42">
        <f t="shared" si="8"/>
        <v>36</v>
      </c>
      <c r="B40">
        <f t="shared" si="10"/>
        <v>6.2096</v>
      </c>
      <c r="D40" s="18">
        <f t="shared" si="1"/>
        <v>5.8082000000000003</v>
      </c>
      <c r="F40">
        <f t="shared" si="2"/>
        <v>5.6772</v>
      </c>
      <c r="H40" s="18">
        <f t="shared" si="3"/>
        <v>5.8482000000000003</v>
      </c>
      <c r="J40">
        <f t="shared" si="4"/>
        <v>5.8759999999999994</v>
      </c>
      <c r="L40" s="18">
        <f t="shared" si="5"/>
        <v>6.55</v>
      </c>
      <c r="N40">
        <f t="shared" si="6"/>
        <v>6.3422000000000001</v>
      </c>
      <c r="P40" s="18">
        <f t="shared" si="9"/>
        <v>4.6702399999999997</v>
      </c>
    </row>
    <row r="41" spans="1:16" x14ac:dyDescent="0.25">
      <c r="A41" s="42">
        <f t="shared" si="8"/>
        <v>37</v>
      </c>
      <c r="B41">
        <f t="shared" si="10"/>
        <v>6.3446999999999996</v>
      </c>
      <c r="D41" s="18">
        <f t="shared" si="1"/>
        <v>5.9460000000000006</v>
      </c>
      <c r="F41">
        <f t="shared" si="2"/>
        <v>5.7984</v>
      </c>
      <c r="H41" s="18">
        <f t="shared" si="3"/>
        <v>5.956900000000001</v>
      </c>
      <c r="J41">
        <f t="shared" si="4"/>
        <v>5.9790000000000001</v>
      </c>
      <c r="L41" s="18">
        <f t="shared" si="5"/>
        <v>6.6800000000000006</v>
      </c>
      <c r="N41">
        <f t="shared" si="6"/>
        <v>6.4553999999999991</v>
      </c>
      <c r="P41" s="18">
        <f t="shared" si="9"/>
        <v>4.7465799999999998</v>
      </c>
    </row>
    <row r="42" spans="1:16" x14ac:dyDescent="0.25">
      <c r="A42" s="42">
        <f t="shared" si="8"/>
        <v>38</v>
      </c>
      <c r="B42">
        <f t="shared" si="10"/>
        <v>6.4798</v>
      </c>
      <c r="D42" s="18">
        <f t="shared" si="1"/>
        <v>6.083800000000001</v>
      </c>
      <c r="F42">
        <f t="shared" si="2"/>
        <v>5.9196</v>
      </c>
      <c r="H42" s="18">
        <f t="shared" si="3"/>
        <v>6.0655999999999999</v>
      </c>
      <c r="J42">
        <f t="shared" si="4"/>
        <v>6.0819999999999999</v>
      </c>
      <c r="L42" s="18">
        <f t="shared" si="5"/>
        <v>6.8100000000000005</v>
      </c>
      <c r="N42">
        <f t="shared" si="6"/>
        <v>6.5686</v>
      </c>
      <c r="P42" s="18">
        <f t="shared" si="9"/>
        <v>4.8229199999999999</v>
      </c>
    </row>
    <row r="43" spans="1:16" x14ac:dyDescent="0.25">
      <c r="A43" s="42">
        <f t="shared" si="8"/>
        <v>39</v>
      </c>
      <c r="B43">
        <f t="shared" si="10"/>
        <v>6.6149000000000004</v>
      </c>
      <c r="D43" s="18">
        <f t="shared" si="1"/>
        <v>6.2216000000000005</v>
      </c>
      <c r="F43">
        <f t="shared" si="2"/>
        <v>6.0407999999999999</v>
      </c>
      <c r="H43" s="18">
        <f t="shared" si="3"/>
        <v>6.1743000000000006</v>
      </c>
      <c r="J43">
        <f t="shared" si="4"/>
        <v>6.1849999999999996</v>
      </c>
      <c r="L43" s="18">
        <f t="shared" si="5"/>
        <v>6.94</v>
      </c>
      <c r="N43">
        <f t="shared" si="6"/>
        <v>6.6817999999999991</v>
      </c>
      <c r="P43" s="18">
        <f t="shared" si="9"/>
        <v>4.8992599999999999</v>
      </c>
    </row>
    <row r="44" spans="1:16" x14ac:dyDescent="0.25">
      <c r="A44" s="42">
        <f t="shared" si="8"/>
        <v>40</v>
      </c>
      <c r="B44">
        <f t="shared" si="10"/>
        <v>6.75</v>
      </c>
      <c r="D44" s="18">
        <f t="shared" si="1"/>
        <v>6.3594000000000008</v>
      </c>
      <c r="F44">
        <f t="shared" si="2"/>
        <v>6.1619999999999999</v>
      </c>
      <c r="H44" s="18">
        <f t="shared" si="3"/>
        <v>6.2829999999999995</v>
      </c>
      <c r="J44">
        <f t="shared" si="4"/>
        <v>6.2880000000000003</v>
      </c>
      <c r="L44" s="18">
        <f t="shared" si="5"/>
        <v>7.07</v>
      </c>
      <c r="N44">
        <f t="shared" si="6"/>
        <v>6.7949999999999999</v>
      </c>
      <c r="P44" s="18">
        <f t="shared" si="9"/>
        <v>4.9756</v>
      </c>
    </row>
    <row r="45" spans="1:16" x14ac:dyDescent="0.25">
      <c r="A45" s="42">
        <f t="shared" si="8"/>
        <v>41</v>
      </c>
      <c r="B45">
        <f t="shared" si="10"/>
        <v>6.8850999999999996</v>
      </c>
      <c r="D45" s="18">
        <f t="shared" si="1"/>
        <v>6.4972000000000003</v>
      </c>
      <c r="F45">
        <f t="shared" si="2"/>
        <v>6.2831999999999999</v>
      </c>
      <c r="H45" s="18">
        <f t="shared" si="3"/>
        <v>6.3917000000000002</v>
      </c>
      <c r="J45">
        <f t="shared" si="4"/>
        <v>6.391</v>
      </c>
      <c r="L45" s="18">
        <f t="shared" si="5"/>
        <v>7.2</v>
      </c>
      <c r="N45">
        <f t="shared" si="6"/>
        <v>6.908199999999999</v>
      </c>
      <c r="P45" s="18">
        <f t="shared" si="9"/>
        <v>5.0519400000000001</v>
      </c>
    </row>
    <row r="46" spans="1:16" x14ac:dyDescent="0.25">
      <c r="A46" s="42">
        <f t="shared" si="8"/>
        <v>42</v>
      </c>
      <c r="B46">
        <f t="shared" si="10"/>
        <v>7.0202</v>
      </c>
      <c r="D46" s="18">
        <f t="shared" si="1"/>
        <v>6.6350000000000007</v>
      </c>
      <c r="F46">
        <f t="shared" si="2"/>
        <v>6.4043999999999999</v>
      </c>
      <c r="H46" s="18">
        <f t="shared" si="3"/>
        <v>6.5004000000000008</v>
      </c>
      <c r="J46">
        <f t="shared" si="4"/>
        <v>6.4939999999999998</v>
      </c>
      <c r="L46" s="18">
        <f t="shared" si="5"/>
        <v>7.33</v>
      </c>
      <c r="N46">
        <f t="shared" si="6"/>
        <v>7.0213999999999999</v>
      </c>
      <c r="P46" s="18">
        <f t="shared" si="9"/>
        <v>5.1282800000000002</v>
      </c>
    </row>
    <row r="47" spans="1:16" x14ac:dyDescent="0.25">
      <c r="A47" s="42">
        <f t="shared" si="8"/>
        <v>43</v>
      </c>
      <c r="B47">
        <f t="shared" si="10"/>
        <v>7.1553000000000004</v>
      </c>
      <c r="D47" s="18">
        <f t="shared" si="1"/>
        <v>6.772800000000001</v>
      </c>
      <c r="F47">
        <f t="shared" si="2"/>
        <v>6.5255999999999998</v>
      </c>
      <c r="H47" s="18">
        <f t="shared" si="3"/>
        <v>6.6090999999999998</v>
      </c>
      <c r="J47">
        <f t="shared" si="4"/>
        <v>6.5969999999999995</v>
      </c>
      <c r="L47" s="18">
        <f t="shared" si="5"/>
        <v>7.46</v>
      </c>
      <c r="N47">
        <f t="shared" si="6"/>
        <v>7.1345999999999989</v>
      </c>
      <c r="P47" s="18">
        <f t="shared" si="9"/>
        <v>5.2046200000000002</v>
      </c>
    </row>
    <row r="48" spans="1:16" x14ac:dyDescent="0.25">
      <c r="A48" s="42">
        <f t="shared" si="8"/>
        <v>44</v>
      </c>
      <c r="B48">
        <f t="shared" si="10"/>
        <v>7.2904</v>
      </c>
      <c r="D48" s="18">
        <f t="shared" si="1"/>
        <v>6.9106000000000005</v>
      </c>
      <c r="F48">
        <f t="shared" si="2"/>
        <v>6.6467999999999998</v>
      </c>
      <c r="H48" s="18">
        <f t="shared" si="3"/>
        <v>6.7178000000000004</v>
      </c>
      <c r="J48">
        <f t="shared" si="4"/>
        <v>6.7</v>
      </c>
      <c r="L48" s="18">
        <f t="shared" si="5"/>
        <v>7.5900000000000007</v>
      </c>
      <c r="N48">
        <f t="shared" si="6"/>
        <v>7.2477999999999998</v>
      </c>
      <c r="P48" s="18">
        <f t="shared" si="9"/>
        <v>5.2809600000000003</v>
      </c>
    </row>
    <row r="49" spans="1:17" x14ac:dyDescent="0.25">
      <c r="A49" s="42">
        <f t="shared" si="8"/>
        <v>45</v>
      </c>
      <c r="B49">
        <f t="shared" si="10"/>
        <v>7.4254999999999995</v>
      </c>
      <c r="D49" s="18">
        <f t="shared" si="1"/>
        <v>7.0484000000000009</v>
      </c>
      <c r="F49">
        <f t="shared" si="2"/>
        <v>6.7679999999999998</v>
      </c>
      <c r="H49" s="18">
        <f t="shared" si="3"/>
        <v>6.8265000000000011</v>
      </c>
      <c r="J49">
        <f t="shared" si="4"/>
        <v>6.8029999999999999</v>
      </c>
      <c r="L49" s="18">
        <f t="shared" si="5"/>
        <v>7.7200000000000006</v>
      </c>
      <c r="N49">
        <f t="shared" si="6"/>
        <v>7.3609999999999989</v>
      </c>
      <c r="P49" s="18">
        <f t="shared" si="9"/>
        <v>5.3573000000000004</v>
      </c>
    </row>
    <row r="50" spans="1:17" x14ac:dyDescent="0.25">
      <c r="A50" s="42">
        <f t="shared" si="8"/>
        <v>46</v>
      </c>
      <c r="B50">
        <f t="shared" si="10"/>
        <v>7.5606</v>
      </c>
      <c r="D50" s="18">
        <f t="shared" si="1"/>
        <v>7.1862000000000004</v>
      </c>
      <c r="F50">
        <f t="shared" si="2"/>
        <v>6.8891999999999998</v>
      </c>
      <c r="H50" s="18">
        <f t="shared" si="3"/>
        <v>6.9352</v>
      </c>
      <c r="J50">
        <f t="shared" si="4"/>
        <v>6.9059999999999997</v>
      </c>
      <c r="L50" s="18">
        <f t="shared" si="5"/>
        <v>7.8500000000000005</v>
      </c>
      <c r="N50">
        <f t="shared" si="6"/>
        <v>7.4741999999999997</v>
      </c>
      <c r="P50" s="18">
        <f t="shared" si="9"/>
        <v>5.4336400000000005</v>
      </c>
    </row>
    <row r="51" spans="1:17" x14ac:dyDescent="0.25">
      <c r="A51" s="42">
        <f t="shared" si="8"/>
        <v>47</v>
      </c>
      <c r="B51">
        <f t="shared" si="10"/>
        <v>7.6957000000000004</v>
      </c>
      <c r="D51" s="18">
        <f t="shared" si="1"/>
        <v>7.3240000000000007</v>
      </c>
      <c r="F51">
        <f t="shared" si="2"/>
        <v>7.0103999999999997</v>
      </c>
      <c r="H51" s="18">
        <f t="shared" si="3"/>
        <v>7.0439000000000007</v>
      </c>
      <c r="J51">
        <f t="shared" si="4"/>
        <v>7.0089999999999995</v>
      </c>
      <c r="L51" s="18">
        <f t="shared" si="5"/>
        <v>7.98</v>
      </c>
      <c r="N51">
        <f t="shared" si="6"/>
        <v>7.5873999999999988</v>
      </c>
      <c r="P51" s="18">
        <f t="shared" si="9"/>
        <v>5.5099800000000005</v>
      </c>
    </row>
    <row r="52" spans="1:17" x14ac:dyDescent="0.25">
      <c r="A52" s="42">
        <f t="shared" si="8"/>
        <v>48</v>
      </c>
      <c r="B52">
        <f t="shared" si="10"/>
        <v>7.8308</v>
      </c>
      <c r="D52" s="18">
        <f t="shared" si="1"/>
        <v>7.4618000000000002</v>
      </c>
      <c r="F52">
        <f t="shared" si="2"/>
        <v>7.1316000000000006</v>
      </c>
      <c r="H52" s="18">
        <f t="shared" si="3"/>
        <v>7.1525999999999996</v>
      </c>
      <c r="J52">
        <f t="shared" si="4"/>
        <v>7.1120000000000001</v>
      </c>
      <c r="L52" s="18">
        <f t="shared" si="5"/>
        <v>8.11</v>
      </c>
      <c r="N52">
        <f t="shared" si="6"/>
        <v>7.7005999999999997</v>
      </c>
      <c r="P52" s="18">
        <f t="shared" si="9"/>
        <v>5.5863199999999997</v>
      </c>
    </row>
    <row r="53" spans="1:17" x14ac:dyDescent="0.25">
      <c r="A53" s="42">
        <f t="shared" si="8"/>
        <v>49</v>
      </c>
      <c r="B53">
        <f t="shared" si="10"/>
        <v>7.9658999999999995</v>
      </c>
      <c r="D53" s="18">
        <f t="shared" si="1"/>
        <v>7.5996000000000006</v>
      </c>
      <c r="F53">
        <f t="shared" si="2"/>
        <v>7.2528000000000006</v>
      </c>
      <c r="H53" s="18">
        <f t="shared" si="3"/>
        <v>7.2613000000000003</v>
      </c>
      <c r="J53">
        <f t="shared" si="4"/>
        <v>7.2149999999999999</v>
      </c>
      <c r="L53" s="18">
        <f t="shared" si="5"/>
        <v>8.24</v>
      </c>
      <c r="N53">
        <f t="shared" si="6"/>
        <v>7.8138000000000005</v>
      </c>
      <c r="P53" s="18">
        <f t="shared" si="9"/>
        <v>5.6626599999999998</v>
      </c>
    </row>
    <row r="54" spans="1:17" x14ac:dyDescent="0.25">
      <c r="A54" s="42">
        <f t="shared" si="8"/>
        <v>50</v>
      </c>
      <c r="B54">
        <f t="shared" si="10"/>
        <v>8.1009999999999991</v>
      </c>
      <c r="D54" s="18">
        <f t="shared" si="1"/>
        <v>7.7374000000000009</v>
      </c>
      <c r="F54">
        <f t="shared" si="2"/>
        <v>7.3740000000000006</v>
      </c>
      <c r="H54" s="18">
        <f t="shared" si="3"/>
        <v>7.370000000000001</v>
      </c>
      <c r="J54">
        <f t="shared" si="4"/>
        <v>7.3179999999999996</v>
      </c>
      <c r="L54" s="18">
        <f t="shared" si="5"/>
        <v>8.370000000000001</v>
      </c>
      <c r="N54">
        <f t="shared" si="6"/>
        <v>7.9269999999999996</v>
      </c>
      <c r="P54" s="18">
        <f>($Q$3*$A54)+$Q$4</f>
        <v>5.7389999999999999</v>
      </c>
    </row>
    <row r="55" spans="1:17" x14ac:dyDescent="0.25">
      <c r="B55" s="41" t="s">
        <v>19</v>
      </c>
      <c r="C55" s="20" t="s">
        <v>133</v>
      </c>
      <c r="D55" s="27" t="s">
        <v>19</v>
      </c>
      <c r="E55" s="28" t="s">
        <v>133</v>
      </c>
      <c r="F55" s="19" t="s">
        <v>19</v>
      </c>
      <c r="G55" s="20" t="s">
        <v>133</v>
      </c>
      <c r="H55" s="27" t="s">
        <v>19</v>
      </c>
      <c r="I55" s="28" t="s">
        <v>133</v>
      </c>
      <c r="J55" s="19" t="s">
        <v>19</v>
      </c>
      <c r="K55" s="20" t="s">
        <v>133</v>
      </c>
      <c r="L55" s="27" t="s">
        <v>19</v>
      </c>
      <c r="M55" s="28" t="s">
        <v>133</v>
      </c>
      <c r="N55" s="19" t="s">
        <v>19</v>
      </c>
      <c r="O55" s="20" t="s">
        <v>133</v>
      </c>
      <c r="P55" s="27" t="s">
        <v>19</v>
      </c>
      <c r="Q55" s="28" t="s">
        <v>133</v>
      </c>
    </row>
    <row r="56" spans="1:17" x14ac:dyDescent="0.25">
      <c r="B56" s="39" t="s">
        <v>134</v>
      </c>
      <c r="C56" s="22">
        <v>0.11849999999999999</v>
      </c>
      <c r="D56" s="29" t="s">
        <v>134</v>
      </c>
      <c r="E56" s="18">
        <v>9.3840000000000007E-2</v>
      </c>
      <c r="F56" s="21" t="s">
        <v>134</v>
      </c>
      <c r="G56">
        <v>7.8469999999999998E-2</v>
      </c>
      <c r="H56" s="29" t="s">
        <v>134</v>
      </c>
      <c r="I56" s="17">
        <v>0.1053</v>
      </c>
      <c r="J56" s="21" t="s">
        <v>134</v>
      </c>
      <c r="K56">
        <v>9.3679999999999999E-2</v>
      </c>
      <c r="L56" s="29" t="s">
        <v>134</v>
      </c>
      <c r="M56" s="18">
        <v>0.1066</v>
      </c>
      <c r="N56" s="21" t="s">
        <v>134</v>
      </c>
      <c r="O56">
        <v>9.0160000000000004E-2</v>
      </c>
      <c r="P56" s="29" t="s">
        <v>134</v>
      </c>
      <c r="Q56" s="17">
        <v>9.7089999999999996E-2</v>
      </c>
    </row>
    <row r="57" spans="1:17" x14ac:dyDescent="0.25">
      <c r="B57" s="40" t="s">
        <v>135</v>
      </c>
      <c r="C57" s="24">
        <v>1.2430000000000001</v>
      </c>
      <c r="D57" s="30" t="s">
        <v>135</v>
      </c>
      <c r="E57" s="25">
        <v>1.4510000000000001</v>
      </c>
      <c r="F57" s="23" t="s">
        <v>135</v>
      </c>
      <c r="G57" s="24">
        <v>1.7390000000000001</v>
      </c>
      <c r="H57" s="30" t="s">
        <v>135</v>
      </c>
      <c r="I57" s="25">
        <v>1.5740000000000001</v>
      </c>
      <c r="J57" s="23" t="s">
        <v>135</v>
      </c>
      <c r="K57" s="24">
        <v>2.1259999999999999</v>
      </c>
      <c r="L57" s="30" t="s">
        <v>135</v>
      </c>
      <c r="M57" s="31">
        <v>2.0939999999999999</v>
      </c>
      <c r="N57" s="23" t="s">
        <v>135</v>
      </c>
      <c r="O57" s="24">
        <v>1.853</v>
      </c>
      <c r="P57" s="30" t="s">
        <v>135</v>
      </c>
      <c r="Q57" s="25">
        <v>1.56</v>
      </c>
    </row>
    <row r="58" spans="1:17" x14ac:dyDescent="0.25">
      <c r="A58" s="42">
        <f>A54+1</f>
        <v>51</v>
      </c>
      <c r="B58">
        <f>($C$56*($A58-50))+$C$57</f>
        <v>1.3615000000000002</v>
      </c>
      <c r="D58" s="18">
        <f>($E$56*($A58-50))+$E$57</f>
        <v>1.54484</v>
      </c>
      <c r="F58">
        <f>($G$56*($A58-50))+$G$57</f>
        <v>1.8174700000000001</v>
      </c>
      <c r="H58" s="18">
        <f>($I$56*($A58-50))+$I$57</f>
        <v>1.6793</v>
      </c>
      <c r="J58">
        <f>($K$56*($A58-50))+$K$57</f>
        <v>2.2196799999999999</v>
      </c>
      <c r="L58" s="18">
        <f>($M$56*($A58-50))+$M$57</f>
        <v>2.2005999999999997</v>
      </c>
      <c r="N58">
        <f t="shared" ref="N58:N89" si="11">($Q$56*($A58-50))+$O$57</f>
        <v>1.9500899999999999</v>
      </c>
      <c r="P58" s="18">
        <f>($Q$56*($A58-50))+$Q$57</f>
        <v>1.65709</v>
      </c>
    </row>
    <row r="59" spans="1:17" x14ac:dyDescent="0.25">
      <c r="A59" s="42">
        <f t="shared" si="8"/>
        <v>52</v>
      </c>
      <c r="B59">
        <f t="shared" ref="B59:B63" si="12">($C$56*($A59-50))+$C$57</f>
        <v>1.48</v>
      </c>
      <c r="D59" s="18">
        <f t="shared" ref="D59:D107" si="13">($E$56*($A59-50))+$E$57</f>
        <v>1.6386800000000001</v>
      </c>
      <c r="F59">
        <f t="shared" ref="F59:F107" si="14">($G$56*($A59-50))+$G$57</f>
        <v>1.8959400000000002</v>
      </c>
      <c r="H59" s="18">
        <f t="shared" ref="H59:H107" si="15">($I$56*($A59-50))+$I$57</f>
        <v>1.7846000000000002</v>
      </c>
      <c r="J59">
        <f t="shared" ref="J59:J106" si="16">($K$56*($A59-50))+$K$57</f>
        <v>2.3133599999999999</v>
      </c>
      <c r="L59" s="18">
        <f t="shared" ref="L59:L107" si="17">($M$56*($A59-50))+$M$57</f>
        <v>2.3071999999999999</v>
      </c>
      <c r="N59">
        <f t="shared" si="11"/>
        <v>2.04718</v>
      </c>
      <c r="P59" s="18">
        <f t="shared" ref="P59:P107" si="18">($Q$56*($A59-50))+$Q$57</f>
        <v>1.7541800000000001</v>
      </c>
    </row>
    <row r="60" spans="1:17" x14ac:dyDescent="0.25">
      <c r="A60" s="42">
        <f t="shared" si="8"/>
        <v>53</v>
      </c>
      <c r="B60">
        <f t="shared" si="12"/>
        <v>1.5985</v>
      </c>
      <c r="D60" s="18">
        <f t="shared" si="13"/>
        <v>1.7325200000000001</v>
      </c>
      <c r="F60">
        <f t="shared" si="14"/>
        <v>1.9744100000000002</v>
      </c>
      <c r="H60" s="18">
        <f t="shared" si="15"/>
        <v>1.8899000000000001</v>
      </c>
      <c r="J60">
        <f t="shared" si="16"/>
        <v>2.4070399999999998</v>
      </c>
      <c r="L60" s="18">
        <f t="shared" si="17"/>
        <v>2.4137999999999997</v>
      </c>
      <c r="N60">
        <f t="shared" si="11"/>
        <v>2.1442700000000001</v>
      </c>
      <c r="P60" s="18">
        <f t="shared" si="18"/>
        <v>1.85127</v>
      </c>
    </row>
    <row r="61" spans="1:17" x14ac:dyDescent="0.25">
      <c r="A61" s="42">
        <f t="shared" si="8"/>
        <v>54</v>
      </c>
      <c r="B61">
        <f t="shared" si="12"/>
        <v>1.7170000000000001</v>
      </c>
      <c r="D61" s="18">
        <f t="shared" si="13"/>
        <v>1.8263600000000002</v>
      </c>
      <c r="F61">
        <f t="shared" si="14"/>
        <v>2.05288</v>
      </c>
      <c r="H61" s="18">
        <f t="shared" si="15"/>
        <v>1.9952000000000001</v>
      </c>
      <c r="J61">
        <f t="shared" si="16"/>
        <v>2.5007199999999998</v>
      </c>
      <c r="L61" s="18">
        <f t="shared" si="17"/>
        <v>2.5204</v>
      </c>
      <c r="N61">
        <f t="shared" si="11"/>
        <v>2.2413599999999998</v>
      </c>
      <c r="P61" s="18">
        <f t="shared" si="18"/>
        <v>1.9483600000000001</v>
      </c>
    </row>
    <row r="62" spans="1:17" x14ac:dyDescent="0.25">
      <c r="A62" s="42">
        <f t="shared" si="8"/>
        <v>55</v>
      </c>
      <c r="B62">
        <f t="shared" si="12"/>
        <v>1.8355000000000001</v>
      </c>
      <c r="D62" s="18">
        <f t="shared" si="13"/>
        <v>1.9202000000000001</v>
      </c>
      <c r="F62">
        <f t="shared" si="14"/>
        <v>2.1313500000000003</v>
      </c>
      <c r="H62" s="18">
        <f t="shared" si="15"/>
        <v>2.1005000000000003</v>
      </c>
      <c r="J62">
        <f t="shared" si="16"/>
        <v>2.5943999999999998</v>
      </c>
      <c r="L62" s="18">
        <f t="shared" si="17"/>
        <v>2.6269999999999998</v>
      </c>
      <c r="N62">
        <f t="shared" si="11"/>
        <v>2.3384499999999999</v>
      </c>
      <c r="P62" s="18">
        <f t="shared" si="18"/>
        <v>2.0454500000000002</v>
      </c>
    </row>
    <row r="63" spans="1:17" x14ac:dyDescent="0.25">
      <c r="A63" s="42">
        <f t="shared" si="8"/>
        <v>56</v>
      </c>
      <c r="B63">
        <f t="shared" si="12"/>
        <v>1.9540000000000002</v>
      </c>
      <c r="D63" s="18">
        <f t="shared" si="13"/>
        <v>2.0140400000000001</v>
      </c>
      <c r="F63">
        <f t="shared" si="14"/>
        <v>2.2098200000000001</v>
      </c>
      <c r="H63" s="18">
        <f t="shared" si="15"/>
        <v>2.2058</v>
      </c>
      <c r="J63">
        <f t="shared" si="16"/>
        <v>2.6880799999999998</v>
      </c>
      <c r="L63" s="18">
        <f t="shared" si="17"/>
        <v>2.7336</v>
      </c>
      <c r="N63">
        <f t="shared" si="11"/>
        <v>2.43554</v>
      </c>
      <c r="P63" s="18">
        <f t="shared" si="18"/>
        <v>2.1425399999999999</v>
      </c>
    </row>
    <row r="64" spans="1:17" x14ac:dyDescent="0.25">
      <c r="A64" s="42">
        <f t="shared" si="8"/>
        <v>57</v>
      </c>
      <c r="B64">
        <f>($C$56*($A64-50))+$C$57</f>
        <v>2.0724999999999998</v>
      </c>
      <c r="D64" s="18">
        <f>($E$56*($A64-50))+$E$57</f>
        <v>2.1078800000000002</v>
      </c>
      <c r="F64">
        <f t="shared" si="14"/>
        <v>2.2882899999999999</v>
      </c>
      <c r="H64" s="18">
        <f t="shared" si="15"/>
        <v>2.3111000000000002</v>
      </c>
      <c r="J64">
        <f t="shared" si="16"/>
        <v>2.7817599999999998</v>
      </c>
      <c r="L64" s="18">
        <f t="shared" si="17"/>
        <v>2.8401999999999998</v>
      </c>
      <c r="N64">
        <f t="shared" si="11"/>
        <v>2.5326300000000002</v>
      </c>
      <c r="P64" s="18">
        <f t="shared" si="18"/>
        <v>2.23963</v>
      </c>
    </row>
    <row r="65" spans="1:16" x14ac:dyDescent="0.25">
      <c r="A65" s="42">
        <f t="shared" si="8"/>
        <v>58</v>
      </c>
      <c r="B65">
        <f t="shared" ref="B65:B107" si="19">($C$56*($A65-50))+$C$57</f>
        <v>2.1909999999999998</v>
      </c>
      <c r="D65" s="18">
        <f t="shared" si="13"/>
        <v>2.2017199999999999</v>
      </c>
      <c r="F65">
        <f t="shared" si="14"/>
        <v>2.3667600000000002</v>
      </c>
      <c r="H65" s="18">
        <f t="shared" si="15"/>
        <v>2.4164000000000003</v>
      </c>
      <c r="J65">
        <f t="shared" si="16"/>
        <v>2.8754399999999998</v>
      </c>
      <c r="L65" s="18">
        <f t="shared" si="17"/>
        <v>2.9467999999999996</v>
      </c>
      <c r="N65">
        <f t="shared" si="11"/>
        <v>2.6297199999999998</v>
      </c>
      <c r="P65" s="18">
        <f t="shared" si="18"/>
        <v>2.3367200000000001</v>
      </c>
    </row>
    <row r="66" spans="1:16" x14ac:dyDescent="0.25">
      <c r="A66" s="42">
        <f t="shared" si="8"/>
        <v>59</v>
      </c>
      <c r="B66">
        <f t="shared" si="19"/>
        <v>2.3094999999999999</v>
      </c>
      <c r="D66" s="18">
        <f t="shared" si="13"/>
        <v>2.29556</v>
      </c>
      <c r="F66">
        <f t="shared" si="14"/>
        <v>2.44523</v>
      </c>
      <c r="H66" s="18">
        <f t="shared" si="15"/>
        <v>2.5217000000000001</v>
      </c>
      <c r="J66">
        <f t="shared" si="16"/>
        <v>2.9691199999999998</v>
      </c>
      <c r="L66" s="18">
        <f t="shared" si="17"/>
        <v>3.0533999999999999</v>
      </c>
      <c r="N66">
        <f t="shared" si="11"/>
        <v>2.72681</v>
      </c>
      <c r="P66" s="18">
        <f t="shared" si="18"/>
        <v>2.4338100000000003</v>
      </c>
    </row>
    <row r="67" spans="1:16" x14ac:dyDescent="0.25">
      <c r="A67" s="42">
        <f t="shared" si="8"/>
        <v>60</v>
      </c>
      <c r="B67">
        <f t="shared" si="19"/>
        <v>2.4279999999999999</v>
      </c>
      <c r="D67" s="18">
        <f>($E$56*($A67-50))+$E$57</f>
        <v>2.3894000000000002</v>
      </c>
      <c r="F67">
        <f t="shared" si="14"/>
        <v>2.5236999999999998</v>
      </c>
      <c r="H67" s="18">
        <f t="shared" si="15"/>
        <v>2.6269999999999998</v>
      </c>
      <c r="J67">
        <f t="shared" si="16"/>
        <v>3.0627999999999997</v>
      </c>
      <c r="L67" s="18">
        <f t="shared" si="17"/>
        <v>3.16</v>
      </c>
      <c r="N67">
        <f t="shared" si="11"/>
        <v>2.8239000000000001</v>
      </c>
      <c r="P67" s="18">
        <f t="shared" si="18"/>
        <v>2.5308999999999999</v>
      </c>
    </row>
    <row r="68" spans="1:16" x14ac:dyDescent="0.25">
      <c r="A68" s="42">
        <f t="shared" si="8"/>
        <v>61</v>
      </c>
      <c r="B68">
        <f t="shared" si="19"/>
        <v>2.5465</v>
      </c>
      <c r="D68" s="18">
        <f t="shared" si="13"/>
        <v>2.4832400000000003</v>
      </c>
      <c r="F68">
        <f t="shared" si="14"/>
        <v>2.6021700000000001</v>
      </c>
      <c r="H68" s="18">
        <f t="shared" si="15"/>
        <v>2.7323000000000004</v>
      </c>
      <c r="J68">
        <f t="shared" si="16"/>
        <v>3.1564800000000002</v>
      </c>
      <c r="L68" s="18">
        <f t="shared" si="17"/>
        <v>3.2665999999999999</v>
      </c>
      <c r="N68">
        <f t="shared" si="11"/>
        <v>2.9209899999999998</v>
      </c>
      <c r="P68" s="18">
        <f t="shared" si="18"/>
        <v>2.62799</v>
      </c>
    </row>
    <row r="69" spans="1:16" x14ac:dyDescent="0.25">
      <c r="A69" s="42">
        <f t="shared" si="8"/>
        <v>62</v>
      </c>
      <c r="B69">
        <f t="shared" si="19"/>
        <v>2.665</v>
      </c>
      <c r="D69" s="18">
        <f t="shared" si="13"/>
        <v>2.57708</v>
      </c>
      <c r="F69">
        <f t="shared" si="14"/>
        <v>2.6806400000000004</v>
      </c>
      <c r="H69" s="18">
        <f t="shared" si="15"/>
        <v>2.8376000000000001</v>
      </c>
      <c r="J69">
        <f t="shared" si="16"/>
        <v>3.2501600000000002</v>
      </c>
      <c r="L69" s="18">
        <f t="shared" si="17"/>
        <v>3.3731999999999998</v>
      </c>
      <c r="N69">
        <f t="shared" si="11"/>
        <v>3.0180799999999999</v>
      </c>
      <c r="P69" s="18">
        <f t="shared" si="18"/>
        <v>2.7250800000000002</v>
      </c>
    </row>
    <row r="70" spans="1:16" x14ac:dyDescent="0.25">
      <c r="A70" s="42">
        <f t="shared" si="8"/>
        <v>63</v>
      </c>
      <c r="B70">
        <f t="shared" si="19"/>
        <v>2.7835000000000001</v>
      </c>
      <c r="D70" s="18">
        <f t="shared" si="13"/>
        <v>2.6709200000000002</v>
      </c>
      <c r="F70">
        <f t="shared" si="14"/>
        <v>2.7591100000000002</v>
      </c>
      <c r="H70" s="18">
        <f t="shared" si="15"/>
        <v>2.9428999999999998</v>
      </c>
      <c r="J70">
        <f t="shared" si="16"/>
        <v>3.3438400000000001</v>
      </c>
      <c r="L70" s="18">
        <f t="shared" si="17"/>
        <v>3.4798</v>
      </c>
      <c r="N70">
        <f t="shared" si="11"/>
        <v>3.11517</v>
      </c>
      <c r="P70" s="18">
        <f t="shared" si="18"/>
        <v>2.8221699999999998</v>
      </c>
    </row>
    <row r="71" spans="1:16" x14ac:dyDescent="0.25">
      <c r="A71" s="42">
        <f t="shared" si="8"/>
        <v>64</v>
      </c>
      <c r="B71">
        <f t="shared" si="19"/>
        <v>2.9020000000000001</v>
      </c>
      <c r="D71" s="18">
        <f t="shared" si="13"/>
        <v>2.7647599999999999</v>
      </c>
      <c r="F71">
        <f t="shared" si="14"/>
        <v>2.83758</v>
      </c>
      <c r="H71" s="18">
        <f t="shared" si="15"/>
        <v>3.0482000000000005</v>
      </c>
      <c r="J71">
        <f t="shared" si="16"/>
        <v>3.4375200000000001</v>
      </c>
      <c r="L71" s="18">
        <f t="shared" si="17"/>
        <v>3.5863999999999998</v>
      </c>
      <c r="N71">
        <f t="shared" si="11"/>
        <v>3.2122599999999997</v>
      </c>
      <c r="P71" s="18">
        <f t="shared" si="18"/>
        <v>2.91926</v>
      </c>
    </row>
    <row r="72" spans="1:16" x14ac:dyDescent="0.25">
      <c r="A72" s="42">
        <f t="shared" si="8"/>
        <v>65</v>
      </c>
      <c r="B72">
        <f t="shared" si="19"/>
        <v>3.0205000000000002</v>
      </c>
      <c r="D72" s="18">
        <f t="shared" si="13"/>
        <v>2.8586</v>
      </c>
      <c r="F72">
        <f t="shared" si="14"/>
        <v>2.9160500000000003</v>
      </c>
      <c r="H72" s="18">
        <f t="shared" si="15"/>
        <v>3.1535000000000002</v>
      </c>
      <c r="J72">
        <f t="shared" si="16"/>
        <v>3.5312000000000001</v>
      </c>
      <c r="L72" s="18">
        <f t="shared" si="17"/>
        <v>3.6929999999999996</v>
      </c>
      <c r="N72">
        <f t="shared" si="11"/>
        <v>3.3093500000000002</v>
      </c>
      <c r="P72" s="18">
        <f t="shared" si="18"/>
        <v>3.0163500000000001</v>
      </c>
    </row>
    <row r="73" spans="1:16" x14ac:dyDescent="0.25">
      <c r="A73" s="42">
        <f t="shared" si="8"/>
        <v>66</v>
      </c>
      <c r="B73">
        <f t="shared" si="19"/>
        <v>3.1390000000000002</v>
      </c>
      <c r="D73" s="18">
        <f t="shared" si="13"/>
        <v>2.9524400000000002</v>
      </c>
      <c r="F73">
        <f t="shared" si="14"/>
        <v>2.9945200000000001</v>
      </c>
      <c r="H73" s="18">
        <f t="shared" si="15"/>
        <v>3.2587999999999999</v>
      </c>
      <c r="J73">
        <f t="shared" si="16"/>
        <v>3.6248800000000001</v>
      </c>
      <c r="L73" s="18">
        <f t="shared" si="17"/>
        <v>3.7995999999999999</v>
      </c>
      <c r="N73">
        <f t="shared" si="11"/>
        <v>3.4064399999999999</v>
      </c>
      <c r="P73" s="18">
        <f t="shared" si="18"/>
        <v>3.1134399999999998</v>
      </c>
    </row>
    <row r="74" spans="1:16" x14ac:dyDescent="0.25">
      <c r="A74" s="42">
        <f t="shared" ref="A74:A140" si="20">A73+1</f>
        <v>67</v>
      </c>
      <c r="B74">
        <f t="shared" si="19"/>
        <v>3.2575000000000003</v>
      </c>
      <c r="D74" s="18">
        <f t="shared" si="13"/>
        <v>3.0462800000000003</v>
      </c>
      <c r="F74">
        <f t="shared" si="14"/>
        <v>3.0729899999999999</v>
      </c>
      <c r="H74" s="18">
        <f t="shared" si="15"/>
        <v>3.3641000000000001</v>
      </c>
      <c r="J74">
        <f t="shared" si="16"/>
        <v>3.7185600000000001</v>
      </c>
      <c r="L74" s="18">
        <f t="shared" si="17"/>
        <v>3.9062000000000001</v>
      </c>
      <c r="N74">
        <f t="shared" si="11"/>
        <v>3.5035299999999996</v>
      </c>
      <c r="P74" s="18">
        <f t="shared" si="18"/>
        <v>3.2105299999999999</v>
      </c>
    </row>
    <row r="75" spans="1:16" x14ac:dyDescent="0.25">
      <c r="A75" s="42">
        <f t="shared" si="20"/>
        <v>68</v>
      </c>
      <c r="B75">
        <f t="shared" si="19"/>
        <v>3.3760000000000003</v>
      </c>
      <c r="D75" s="18">
        <f t="shared" si="13"/>
        <v>3.1401200000000005</v>
      </c>
      <c r="F75">
        <f t="shared" si="14"/>
        <v>3.1514600000000002</v>
      </c>
      <c r="H75" s="18">
        <f t="shared" si="15"/>
        <v>3.4694000000000003</v>
      </c>
      <c r="J75">
        <f t="shared" si="16"/>
        <v>3.8122400000000001</v>
      </c>
      <c r="L75" s="18">
        <f t="shared" si="17"/>
        <v>4.0128000000000004</v>
      </c>
      <c r="N75">
        <f t="shared" si="11"/>
        <v>3.6006200000000002</v>
      </c>
      <c r="P75" s="18">
        <f t="shared" si="18"/>
        <v>3.30762</v>
      </c>
    </row>
    <row r="76" spans="1:16" x14ac:dyDescent="0.25">
      <c r="A76" s="42">
        <f t="shared" si="20"/>
        <v>69</v>
      </c>
      <c r="B76">
        <f t="shared" si="19"/>
        <v>3.4945000000000004</v>
      </c>
      <c r="D76" s="18">
        <f t="shared" si="13"/>
        <v>3.2339600000000002</v>
      </c>
      <c r="F76">
        <f t="shared" si="14"/>
        <v>3.22993</v>
      </c>
      <c r="H76" s="18">
        <f t="shared" si="15"/>
        <v>3.5747</v>
      </c>
      <c r="J76">
        <f t="shared" si="16"/>
        <v>3.9059200000000001</v>
      </c>
      <c r="L76" s="18">
        <f t="shared" si="17"/>
        <v>4.1193999999999997</v>
      </c>
      <c r="N76">
        <f t="shared" si="11"/>
        <v>3.6977099999999998</v>
      </c>
      <c r="P76" s="18">
        <f t="shared" si="18"/>
        <v>3.4047099999999997</v>
      </c>
    </row>
    <row r="77" spans="1:16" x14ac:dyDescent="0.25">
      <c r="A77" s="42">
        <f t="shared" si="20"/>
        <v>70</v>
      </c>
      <c r="B77">
        <f t="shared" si="19"/>
        <v>3.6130000000000004</v>
      </c>
      <c r="D77" s="18">
        <f t="shared" si="13"/>
        <v>3.3278000000000003</v>
      </c>
      <c r="F77">
        <f t="shared" si="14"/>
        <v>3.3083999999999998</v>
      </c>
      <c r="H77" s="18">
        <f t="shared" si="15"/>
        <v>3.6799999999999997</v>
      </c>
      <c r="J77">
        <f t="shared" si="16"/>
        <v>3.9996</v>
      </c>
      <c r="L77" s="18">
        <f t="shared" si="17"/>
        <v>4.226</v>
      </c>
      <c r="N77">
        <f t="shared" si="11"/>
        <v>3.7948</v>
      </c>
      <c r="P77" s="18">
        <f t="shared" si="18"/>
        <v>3.5018000000000002</v>
      </c>
    </row>
    <row r="78" spans="1:16" x14ac:dyDescent="0.25">
      <c r="A78" s="42">
        <f t="shared" si="20"/>
        <v>71</v>
      </c>
      <c r="B78">
        <f t="shared" si="19"/>
        <v>3.7314999999999996</v>
      </c>
      <c r="D78" s="18">
        <f t="shared" si="13"/>
        <v>3.42164</v>
      </c>
      <c r="F78">
        <f t="shared" si="14"/>
        <v>3.38687</v>
      </c>
      <c r="H78" s="18">
        <f t="shared" si="15"/>
        <v>3.7853000000000003</v>
      </c>
      <c r="J78">
        <f t="shared" si="16"/>
        <v>4.09328</v>
      </c>
      <c r="L78" s="18">
        <f t="shared" si="17"/>
        <v>4.3325999999999993</v>
      </c>
      <c r="N78">
        <f t="shared" si="11"/>
        <v>3.8918900000000001</v>
      </c>
      <c r="P78" s="18">
        <f t="shared" si="18"/>
        <v>3.5988899999999999</v>
      </c>
    </row>
    <row r="79" spans="1:16" x14ac:dyDescent="0.25">
      <c r="A79" s="42">
        <f t="shared" si="20"/>
        <v>72</v>
      </c>
      <c r="B79">
        <f t="shared" si="19"/>
        <v>3.8499999999999996</v>
      </c>
      <c r="D79" s="18">
        <f t="shared" si="13"/>
        <v>3.5154800000000002</v>
      </c>
      <c r="F79">
        <f t="shared" si="14"/>
        <v>3.4653400000000003</v>
      </c>
      <c r="H79" s="18">
        <f t="shared" si="15"/>
        <v>3.8906000000000001</v>
      </c>
      <c r="J79">
        <f t="shared" si="16"/>
        <v>4.18696</v>
      </c>
      <c r="L79" s="18">
        <f t="shared" si="17"/>
        <v>4.4391999999999996</v>
      </c>
      <c r="N79">
        <f t="shared" si="11"/>
        <v>3.9889799999999997</v>
      </c>
      <c r="P79" s="18">
        <f t="shared" si="18"/>
        <v>3.69598</v>
      </c>
    </row>
    <row r="80" spans="1:16" x14ac:dyDescent="0.25">
      <c r="A80" s="42">
        <f t="shared" si="20"/>
        <v>73</v>
      </c>
      <c r="B80">
        <f t="shared" si="19"/>
        <v>3.9684999999999997</v>
      </c>
      <c r="D80" s="18">
        <f t="shared" si="13"/>
        <v>3.6093200000000003</v>
      </c>
      <c r="F80">
        <f t="shared" si="14"/>
        <v>3.5438100000000001</v>
      </c>
      <c r="H80" s="18">
        <f t="shared" si="15"/>
        <v>3.9958999999999998</v>
      </c>
      <c r="J80">
        <f t="shared" si="16"/>
        <v>4.28064</v>
      </c>
      <c r="L80" s="18">
        <f t="shared" si="17"/>
        <v>4.5457999999999998</v>
      </c>
      <c r="N80">
        <f t="shared" si="11"/>
        <v>4.0860700000000003</v>
      </c>
      <c r="P80" s="18">
        <f t="shared" si="18"/>
        <v>3.7930700000000002</v>
      </c>
    </row>
    <row r="81" spans="1:16" x14ac:dyDescent="0.25">
      <c r="A81" s="42">
        <f t="shared" si="20"/>
        <v>74</v>
      </c>
      <c r="B81">
        <f t="shared" si="19"/>
        <v>4.0869999999999997</v>
      </c>
      <c r="D81" s="18">
        <f t="shared" si="13"/>
        <v>3.70316</v>
      </c>
      <c r="F81">
        <f t="shared" si="14"/>
        <v>3.6222799999999999</v>
      </c>
      <c r="H81" s="18">
        <f t="shared" si="15"/>
        <v>4.1012000000000004</v>
      </c>
      <c r="J81">
        <f t="shared" si="16"/>
        <v>4.37432</v>
      </c>
      <c r="L81" s="18">
        <f t="shared" si="17"/>
        <v>4.6524000000000001</v>
      </c>
      <c r="N81">
        <f t="shared" si="11"/>
        <v>4.18316</v>
      </c>
      <c r="P81" s="18">
        <f t="shared" si="18"/>
        <v>3.8901599999999998</v>
      </c>
    </row>
    <row r="82" spans="1:16" x14ac:dyDescent="0.25">
      <c r="A82" s="42">
        <f t="shared" si="20"/>
        <v>75</v>
      </c>
      <c r="B82">
        <f t="shared" si="19"/>
        <v>4.2054999999999998</v>
      </c>
      <c r="D82" s="18">
        <f t="shared" si="13"/>
        <v>3.7970000000000002</v>
      </c>
      <c r="F82">
        <f t="shared" si="14"/>
        <v>3.7007500000000002</v>
      </c>
      <c r="H82" s="18">
        <f t="shared" si="15"/>
        <v>4.2065000000000001</v>
      </c>
      <c r="J82">
        <f t="shared" si="16"/>
        <v>4.468</v>
      </c>
      <c r="L82" s="18">
        <f t="shared" si="17"/>
        <v>4.7590000000000003</v>
      </c>
      <c r="N82">
        <f t="shared" si="11"/>
        <v>4.2802499999999997</v>
      </c>
      <c r="P82" s="18">
        <f t="shared" si="18"/>
        <v>3.98725</v>
      </c>
    </row>
    <row r="83" spans="1:16" x14ac:dyDescent="0.25">
      <c r="A83" s="42">
        <f t="shared" si="20"/>
        <v>76</v>
      </c>
      <c r="B83">
        <f t="shared" si="19"/>
        <v>4.3239999999999998</v>
      </c>
      <c r="D83" s="18">
        <f t="shared" si="13"/>
        <v>3.8908400000000003</v>
      </c>
      <c r="F83">
        <f t="shared" si="14"/>
        <v>3.7792200000000005</v>
      </c>
      <c r="H83" s="18">
        <f t="shared" si="15"/>
        <v>4.3117999999999999</v>
      </c>
      <c r="J83">
        <f t="shared" si="16"/>
        <v>4.56168</v>
      </c>
      <c r="L83" s="18">
        <f t="shared" si="17"/>
        <v>4.8655999999999997</v>
      </c>
      <c r="N83">
        <f t="shared" si="11"/>
        <v>4.3773400000000002</v>
      </c>
      <c r="P83" s="18">
        <f t="shared" si="18"/>
        <v>4.0843400000000001</v>
      </c>
    </row>
    <row r="84" spans="1:16" x14ac:dyDescent="0.25">
      <c r="A84" s="42">
        <f t="shared" si="20"/>
        <v>77</v>
      </c>
      <c r="B84">
        <f t="shared" si="19"/>
        <v>4.4424999999999999</v>
      </c>
      <c r="D84" s="18">
        <f t="shared" si="13"/>
        <v>3.9846800000000004</v>
      </c>
      <c r="F84">
        <f t="shared" si="14"/>
        <v>3.8576899999999998</v>
      </c>
      <c r="H84" s="18">
        <f t="shared" si="15"/>
        <v>4.4171000000000005</v>
      </c>
      <c r="J84">
        <f t="shared" si="16"/>
        <v>4.6553599999999999</v>
      </c>
      <c r="L84" s="18">
        <f t="shared" si="17"/>
        <v>4.9722</v>
      </c>
      <c r="N84">
        <f t="shared" si="11"/>
        <v>4.4744299999999999</v>
      </c>
      <c r="P84" s="18">
        <f t="shared" si="18"/>
        <v>4.1814299999999998</v>
      </c>
    </row>
    <row r="85" spans="1:16" x14ac:dyDescent="0.25">
      <c r="A85" s="42">
        <f t="shared" si="20"/>
        <v>78</v>
      </c>
      <c r="B85">
        <f t="shared" si="19"/>
        <v>4.5609999999999999</v>
      </c>
      <c r="D85" s="18">
        <f t="shared" si="13"/>
        <v>4.0785200000000001</v>
      </c>
      <c r="F85">
        <f t="shared" si="14"/>
        <v>3.9361600000000001</v>
      </c>
      <c r="H85" s="18">
        <f t="shared" si="15"/>
        <v>4.5224000000000002</v>
      </c>
      <c r="J85">
        <f t="shared" si="16"/>
        <v>4.7490399999999999</v>
      </c>
      <c r="L85" s="18">
        <f t="shared" si="17"/>
        <v>5.0787999999999993</v>
      </c>
      <c r="N85">
        <f t="shared" si="11"/>
        <v>4.5715199999999996</v>
      </c>
      <c r="P85" s="18">
        <f t="shared" si="18"/>
        <v>4.2785200000000003</v>
      </c>
    </row>
    <row r="86" spans="1:16" x14ac:dyDescent="0.25">
      <c r="A86" s="42">
        <f t="shared" si="20"/>
        <v>79</v>
      </c>
      <c r="B86">
        <f t="shared" si="19"/>
        <v>4.6795</v>
      </c>
      <c r="D86" s="18">
        <f t="shared" si="13"/>
        <v>4.1723600000000003</v>
      </c>
      <c r="F86">
        <f t="shared" si="14"/>
        <v>4.0146300000000004</v>
      </c>
      <c r="H86" s="18">
        <f t="shared" si="15"/>
        <v>4.6276999999999999</v>
      </c>
      <c r="J86">
        <f t="shared" si="16"/>
        <v>4.8427199999999999</v>
      </c>
      <c r="L86" s="18">
        <f t="shared" si="17"/>
        <v>5.1853999999999996</v>
      </c>
      <c r="N86">
        <f t="shared" si="11"/>
        <v>4.6686100000000001</v>
      </c>
      <c r="P86" s="18">
        <f t="shared" si="18"/>
        <v>4.37561</v>
      </c>
    </row>
    <row r="87" spans="1:16" x14ac:dyDescent="0.25">
      <c r="A87" s="42">
        <f t="shared" si="20"/>
        <v>80</v>
      </c>
      <c r="B87">
        <f t="shared" si="19"/>
        <v>4.798</v>
      </c>
      <c r="D87" s="18">
        <f t="shared" si="13"/>
        <v>4.2662000000000004</v>
      </c>
      <c r="F87">
        <f t="shared" si="14"/>
        <v>4.0930999999999997</v>
      </c>
      <c r="H87" s="18">
        <f t="shared" si="15"/>
        <v>4.7330000000000005</v>
      </c>
      <c r="J87">
        <f t="shared" si="16"/>
        <v>4.9363999999999999</v>
      </c>
      <c r="L87" s="18">
        <f t="shared" si="17"/>
        <v>5.2919999999999998</v>
      </c>
      <c r="N87">
        <f t="shared" si="11"/>
        <v>4.7656999999999998</v>
      </c>
      <c r="P87" s="18">
        <f t="shared" si="18"/>
        <v>4.4726999999999997</v>
      </c>
    </row>
    <row r="88" spans="1:16" x14ac:dyDescent="0.25">
      <c r="A88" s="42">
        <f t="shared" si="20"/>
        <v>81</v>
      </c>
      <c r="B88">
        <f t="shared" si="19"/>
        <v>4.9165000000000001</v>
      </c>
      <c r="D88" s="18">
        <f t="shared" si="13"/>
        <v>4.3600399999999997</v>
      </c>
      <c r="F88">
        <f t="shared" si="14"/>
        <v>4.17157</v>
      </c>
      <c r="H88" s="18">
        <f t="shared" si="15"/>
        <v>4.8383000000000003</v>
      </c>
      <c r="J88">
        <f t="shared" si="16"/>
        <v>5.0300799999999999</v>
      </c>
      <c r="L88" s="18">
        <f t="shared" si="17"/>
        <v>5.3986000000000001</v>
      </c>
      <c r="N88">
        <f t="shared" si="11"/>
        <v>4.8627899999999995</v>
      </c>
      <c r="P88" s="18">
        <f t="shared" si="18"/>
        <v>4.5697899999999994</v>
      </c>
    </row>
    <row r="89" spans="1:16" x14ac:dyDescent="0.25">
      <c r="A89" s="42">
        <f t="shared" si="20"/>
        <v>82</v>
      </c>
      <c r="B89">
        <f t="shared" si="19"/>
        <v>5.0350000000000001</v>
      </c>
      <c r="D89" s="18">
        <f t="shared" si="13"/>
        <v>4.4538799999999998</v>
      </c>
      <c r="F89">
        <f t="shared" si="14"/>
        <v>4.2500400000000003</v>
      </c>
      <c r="H89" s="18">
        <f t="shared" si="15"/>
        <v>4.9436</v>
      </c>
      <c r="J89">
        <f t="shared" si="16"/>
        <v>5.1237599999999999</v>
      </c>
      <c r="L89" s="18">
        <f t="shared" si="17"/>
        <v>5.5052000000000003</v>
      </c>
      <c r="N89">
        <f t="shared" si="11"/>
        <v>4.9598800000000001</v>
      </c>
      <c r="P89" s="18">
        <f t="shared" si="18"/>
        <v>4.6668799999999999</v>
      </c>
    </row>
    <row r="90" spans="1:16" x14ac:dyDescent="0.25">
      <c r="A90" s="42">
        <f t="shared" si="20"/>
        <v>83</v>
      </c>
      <c r="B90">
        <f t="shared" si="19"/>
        <v>5.1535000000000002</v>
      </c>
      <c r="D90" s="18">
        <f t="shared" si="13"/>
        <v>4.54772</v>
      </c>
      <c r="F90">
        <f t="shared" si="14"/>
        <v>4.3285099999999996</v>
      </c>
      <c r="H90" s="18">
        <f t="shared" si="15"/>
        <v>5.0489000000000006</v>
      </c>
      <c r="J90">
        <f t="shared" si="16"/>
        <v>5.2174399999999999</v>
      </c>
      <c r="L90" s="18">
        <f t="shared" si="17"/>
        <v>5.6117999999999997</v>
      </c>
      <c r="N90">
        <f t="shared" ref="N90:N107" si="21">($Q$56*($A90-50))+$O$57</f>
        <v>5.0569699999999997</v>
      </c>
      <c r="P90" s="18">
        <f t="shared" si="18"/>
        <v>4.7639700000000005</v>
      </c>
    </row>
    <row r="91" spans="1:16" x14ac:dyDescent="0.25">
      <c r="A91" s="42">
        <f t="shared" si="20"/>
        <v>84</v>
      </c>
      <c r="B91">
        <f t="shared" si="19"/>
        <v>5.2720000000000002</v>
      </c>
      <c r="D91" s="18">
        <f t="shared" si="13"/>
        <v>4.6415600000000001</v>
      </c>
      <c r="F91">
        <f t="shared" si="14"/>
        <v>4.4069799999999999</v>
      </c>
      <c r="H91" s="18">
        <f t="shared" si="15"/>
        <v>5.1542000000000003</v>
      </c>
      <c r="J91">
        <f t="shared" si="16"/>
        <v>5.3111199999999998</v>
      </c>
      <c r="L91" s="18">
        <f t="shared" si="17"/>
        <v>5.7183999999999999</v>
      </c>
      <c r="N91">
        <f t="shared" si="21"/>
        <v>5.1540599999999994</v>
      </c>
      <c r="P91" s="18">
        <f t="shared" si="18"/>
        <v>4.8610600000000002</v>
      </c>
    </row>
    <row r="92" spans="1:16" x14ac:dyDescent="0.25">
      <c r="A92" s="42">
        <f t="shared" si="20"/>
        <v>85</v>
      </c>
      <c r="B92">
        <f t="shared" si="19"/>
        <v>5.3905000000000003</v>
      </c>
      <c r="D92" s="18">
        <f t="shared" si="13"/>
        <v>4.7354000000000003</v>
      </c>
      <c r="F92">
        <f t="shared" si="14"/>
        <v>4.4854500000000002</v>
      </c>
      <c r="H92" s="18">
        <f t="shared" si="15"/>
        <v>5.2595000000000001</v>
      </c>
      <c r="J92">
        <f t="shared" si="16"/>
        <v>5.4047999999999998</v>
      </c>
      <c r="L92" s="18">
        <f t="shared" si="17"/>
        <v>5.8249999999999993</v>
      </c>
      <c r="N92">
        <f t="shared" si="21"/>
        <v>5.25115</v>
      </c>
      <c r="P92" s="18">
        <f t="shared" si="18"/>
        <v>4.9581499999999998</v>
      </c>
    </row>
    <row r="93" spans="1:16" x14ac:dyDescent="0.25">
      <c r="A93" s="42">
        <f t="shared" si="20"/>
        <v>86</v>
      </c>
      <c r="B93">
        <f t="shared" si="19"/>
        <v>5.5090000000000003</v>
      </c>
      <c r="D93" s="18">
        <f t="shared" si="13"/>
        <v>4.8292400000000004</v>
      </c>
      <c r="F93">
        <f t="shared" si="14"/>
        <v>4.5639200000000004</v>
      </c>
      <c r="H93" s="18">
        <f t="shared" si="15"/>
        <v>5.3647999999999998</v>
      </c>
      <c r="J93">
        <f t="shared" si="16"/>
        <v>5.4984799999999998</v>
      </c>
      <c r="L93" s="18">
        <f t="shared" si="17"/>
        <v>5.9315999999999995</v>
      </c>
      <c r="N93">
        <f t="shared" si="21"/>
        <v>5.3482399999999997</v>
      </c>
      <c r="P93" s="18">
        <f t="shared" si="18"/>
        <v>5.0552399999999995</v>
      </c>
    </row>
    <row r="94" spans="1:16" x14ac:dyDescent="0.25">
      <c r="A94" s="42">
        <f t="shared" si="20"/>
        <v>87</v>
      </c>
      <c r="B94">
        <f t="shared" si="19"/>
        <v>5.6275000000000004</v>
      </c>
      <c r="D94" s="18">
        <f t="shared" si="13"/>
        <v>4.9230800000000006</v>
      </c>
      <c r="F94">
        <f t="shared" si="14"/>
        <v>4.6423899999999998</v>
      </c>
      <c r="H94" s="18">
        <f t="shared" si="15"/>
        <v>5.4701000000000004</v>
      </c>
      <c r="J94">
        <f t="shared" si="16"/>
        <v>5.5921599999999998</v>
      </c>
      <c r="L94" s="18">
        <f t="shared" si="17"/>
        <v>6.0381999999999998</v>
      </c>
      <c r="N94">
        <f t="shared" si="21"/>
        <v>5.4453300000000002</v>
      </c>
      <c r="P94" s="18">
        <f t="shared" si="18"/>
        <v>5.1523300000000001</v>
      </c>
    </row>
    <row r="95" spans="1:16" x14ac:dyDescent="0.25">
      <c r="A95" s="42">
        <f t="shared" si="20"/>
        <v>88</v>
      </c>
      <c r="B95">
        <f t="shared" si="19"/>
        <v>5.7460000000000004</v>
      </c>
      <c r="D95" s="18">
        <f t="shared" si="13"/>
        <v>5.0169200000000007</v>
      </c>
      <c r="F95">
        <f t="shared" si="14"/>
        <v>4.7208600000000001</v>
      </c>
      <c r="H95" s="18">
        <f t="shared" si="15"/>
        <v>5.5754000000000001</v>
      </c>
      <c r="J95">
        <f t="shared" si="16"/>
        <v>5.6858399999999998</v>
      </c>
      <c r="L95" s="18">
        <f t="shared" si="17"/>
        <v>6.1448</v>
      </c>
      <c r="N95">
        <f t="shared" si="21"/>
        <v>5.5424199999999999</v>
      </c>
      <c r="P95" s="18">
        <f t="shared" si="18"/>
        <v>5.2494199999999998</v>
      </c>
    </row>
    <row r="96" spans="1:16" x14ac:dyDescent="0.25">
      <c r="A96" s="42">
        <f t="shared" si="20"/>
        <v>89</v>
      </c>
      <c r="B96">
        <f t="shared" si="19"/>
        <v>5.8645000000000005</v>
      </c>
      <c r="D96" s="18">
        <f t="shared" si="13"/>
        <v>5.1107600000000009</v>
      </c>
      <c r="F96">
        <f t="shared" si="14"/>
        <v>4.7993300000000003</v>
      </c>
      <c r="H96" s="18">
        <f t="shared" si="15"/>
        <v>5.6806999999999999</v>
      </c>
      <c r="J96">
        <f t="shared" si="16"/>
        <v>5.7795199999999998</v>
      </c>
      <c r="L96" s="18">
        <f t="shared" si="17"/>
        <v>6.2514000000000003</v>
      </c>
      <c r="N96">
        <f t="shared" si="21"/>
        <v>5.6395099999999996</v>
      </c>
      <c r="P96" s="18">
        <f t="shared" si="18"/>
        <v>5.3465100000000003</v>
      </c>
    </row>
    <row r="97" spans="1:17" x14ac:dyDescent="0.25">
      <c r="A97" s="42">
        <f t="shared" si="20"/>
        <v>90</v>
      </c>
      <c r="B97">
        <f t="shared" si="19"/>
        <v>5.9830000000000005</v>
      </c>
      <c r="D97" s="18">
        <f t="shared" si="13"/>
        <v>5.204600000000001</v>
      </c>
      <c r="F97">
        <f t="shared" si="14"/>
        <v>4.8777999999999997</v>
      </c>
      <c r="H97" s="18">
        <f t="shared" si="15"/>
        <v>5.7859999999999996</v>
      </c>
      <c r="J97">
        <f t="shared" si="16"/>
        <v>5.8731999999999998</v>
      </c>
      <c r="L97" s="18">
        <f t="shared" si="17"/>
        <v>6.3580000000000005</v>
      </c>
      <c r="N97">
        <f t="shared" si="21"/>
        <v>5.7366000000000001</v>
      </c>
      <c r="P97" s="18">
        <f t="shared" si="18"/>
        <v>5.4436</v>
      </c>
    </row>
    <row r="98" spans="1:17" x14ac:dyDescent="0.25">
      <c r="A98" s="42">
        <f t="shared" si="20"/>
        <v>91</v>
      </c>
      <c r="B98">
        <f t="shared" si="19"/>
        <v>6.1014999999999997</v>
      </c>
      <c r="D98" s="18">
        <f t="shared" si="13"/>
        <v>5.2984400000000003</v>
      </c>
      <c r="F98">
        <f t="shared" si="14"/>
        <v>4.95627</v>
      </c>
      <c r="H98" s="18">
        <f t="shared" si="15"/>
        <v>5.8913000000000002</v>
      </c>
      <c r="J98">
        <f t="shared" si="16"/>
        <v>5.9668799999999997</v>
      </c>
      <c r="L98" s="18">
        <f t="shared" si="17"/>
        <v>6.464599999999999</v>
      </c>
      <c r="N98">
        <f t="shared" si="21"/>
        <v>5.8336899999999998</v>
      </c>
      <c r="P98" s="18">
        <f t="shared" si="18"/>
        <v>5.5406899999999997</v>
      </c>
    </row>
    <row r="99" spans="1:17" x14ac:dyDescent="0.25">
      <c r="A99" s="42">
        <f t="shared" si="20"/>
        <v>92</v>
      </c>
      <c r="B99">
        <f t="shared" si="19"/>
        <v>6.22</v>
      </c>
      <c r="D99" s="18">
        <f t="shared" si="13"/>
        <v>5.3922800000000004</v>
      </c>
      <c r="F99">
        <f t="shared" si="14"/>
        <v>5.0347400000000002</v>
      </c>
      <c r="H99" s="18">
        <f t="shared" si="15"/>
        <v>5.9965999999999999</v>
      </c>
      <c r="J99">
        <f t="shared" si="16"/>
        <v>6.0605599999999997</v>
      </c>
      <c r="L99" s="18">
        <f t="shared" si="17"/>
        <v>6.5711999999999993</v>
      </c>
      <c r="N99">
        <f t="shared" si="21"/>
        <v>5.9307799999999995</v>
      </c>
      <c r="P99" s="18">
        <f t="shared" si="18"/>
        <v>5.6377799999999993</v>
      </c>
    </row>
    <row r="100" spans="1:17" x14ac:dyDescent="0.25">
      <c r="A100" s="42">
        <f t="shared" si="20"/>
        <v>93</v>
      </c>
      <c r="B100">
        <f t="shared" si="19"/>
        <v>6.3384999999999998</v>
      </c>
      <c r="D100" s="18">
        <f t="shared" si="13"/>
        <v>5.4861199999999997</v>
      </c>
      <c r="F100">
        <f t="shared" si="14"/>
        <v>5.1132099999999996</v>
      </c>
      <c r="H100" s="18">
        <f t="shared" si="15"/>
        <v>6.1018999999999997</v>
      </c>
      <c r="J100">
        <f t="shared" si="16"/>
        <v>6.1542399999999997</v>
      </c>
      <c r="L100" s="18">
        <f t="shared" si="17"/>
        <v>6.6777999999999995</v>
      </c>
      <c r="N100">
        <f t="shared" si="21"/>
        <v>6.0278699999999992</v>
      </c>
      <c r="P100" s="18">
        <f t="shared" si="18"/>
        <v>5.734869999999999</v>
      </c>
    </row>
    <row r="101" spans="1:17" x14ac:dyDescent="0.25">
      <c r="A101" s="42">
        <f t="shared" si="20"/>
        <v>94</v>
      </c>
      <c r="B101">
        <f t="shared" si="19"/>
        <v>6.4569999999999999</v>
      </c>
      <c r="D101" s="18">
        <f t="shared" si="13"/>
        <v>5.5799599999999998</v>
      </c>
      <c r="F101">
        <f t="shared" si="14"/>
        <v>5.1916799999999999</v>
      </c>
      <c r="H101" s="18">
        <f t="shared" si="15"/>
        <v>6.2072000000000003</v>
      </c>
      <c r="J101">
        <f t="shared" si="16"/>
        <v>6.2479200000000006</v>
      </c>
      <c r="L101" s="18">
        <f t="shared" si="17"/>
        <v>6.7843999999999998</v>
      </c>
      <c r="N101">
        <f t="shared" si="21"/>
        <v>6.1249599999999997</v>
      </c>
      <c r="P101" s="18">
        <f t="shared" si="18"/>
        <v>5.8319600000000005</v>
      </c>
    </row>
    <row r="102" spans="1:17" x14ac:dyDescent="0.25">
      <c r="A102" s="42">
        <f t="shared" si="20"/>
        <v>95</v>
      </c>
      <c r="B102">
        <f t="shared" si="19"/>
        <v>6.5754999999999999</v>
      </c>
      <c r="D102" s="18">
        <f t="shared" si="13"/>
        <v>5.6738</v>
      </c>
      <c r="F102">
        <f t="shared" si="14"/>
        <v>5.2701500000000001</v>
      </c>
      <c r="H102" s="18">
        <f t="shared" si="15"/>
        <v>6.3125</v>
      </c>
      <c r="J102">
        <f t="shared" si="16"/>
        <v>6.3415999999999997</v>
      </c>
      <c r="L102" s="18">
        <f t="shared" si="17"/>
        <v>6.891</v>
      </c>
      <c r="N102">
        <f t="shared" si="21"/>
        <v>6.2220499999999994</v>
      </c>
      <c r="P102" s="18">
        <f t="shared" si="18"/>
        <v>5.9290500000000002</v>
      </c>
    </row>
    <row r="103" spans="1:17" x14ac:dyDescent="0.25">
      <c r="A103" s="42">
        <f t="shared" si="20"/>
        <v>96</v>
      </c>
      <c r="B103">
        <f t="shared" si="19"/>
        <v>6.694</v>
      </c>
      <c r="D103" s="18">
        <f t="shared" si="13"/>
        <v>5.7676400000000001</v>
      </c>
      <c r="F103">
        <f t="shared" si="14"/>
        <v>5.3486200000000004</v>
      </c>
      <c r="H103" s="18">
        <f t="shared" si="15"/>
        <v>6.4177999999999997</v>
      </c>
      <c r="J103">
        <f t="shared" si="16"/>
        <v>6.4352800000000006</v>
      </c>
      <c r="L103" s="18">
        <f t="shared" si="17"/>
        <v>6.9976000000000003</v>
      </c>
      <c r="N103">
        <f t="shared" si="21"/>
        <v>6.31914</v>
      </c>
      <c r="P103" s="18">
        <f t="shared" si="18"/>
        <v>6.0261399999999998</v>
      </c>
    </row>
    <row r="104" spans="1:17" x14ac:dyDescent="0.25">
      <c r="A104" s="42">
        <f t="shared" si="20"/>
        <v>97</v>
      </c>
      <c r="B104">
        <f t="shared" si="19"/>
        <v>6.8125</v>
      </c>
      <c r="D104" s="18">
        <f t="shared" si="13"/>
        <v>5.8614800000000002</v>
      </c>
      <c r="F104">
        <f t="shared" si="14"/>
        <v>5.4270899999999997</v>
      </c>
      <c r="H104" s="18">
        <f t="shared" si="15"/>
        <v>6.5231000000000003</v>
      </c>
      <c r="J104">
        <f t="shared" si="16"/>
        <v>6.5289599999999997</v>
      </c>
      <c r="L104" s="18">
        <f t="shared" si="17"/>
        <v>7.1042000000000005</v>
      </c>
      <c r="N104">
        <f t="shared" si="21"/>
        <v>6.4162299999999997</v>
      </c>
      <c r="P104" s="18">
        <f t="shared" si="18"/>
        <v>6.1232299999999995</v>
      </c>
    </row>
    <row r="105" spans="1:17" x14ac:dyDescent="0.25">
      <c r="A105" s="42">
        <f t="shared" si="20"/>
        <v>98</v>
      </c>
      <c r="B105">
        <f t="shared" si="19"/>
        <v>6.931</v>
      </c>
      <c r="D105" s="18">
        <f t="shared" si="13"/>
        <v>5.9553200000000004</v>
      </c>
      <c r="F105">
        <f t="shared" si="14"/>
        <v>5.50556</v>
      </c>
      <c r="H105" s="18">
        <f t="shared" si="15"/>
        <v>6.6284000000000001</v>
      </c>
      <c r="J105">
        <f t="shared" si="16"/>
        <v>6.6226400000000005</v>
      </c>
      <c r="L105" s="18">
        <f t="shared" si="17"/>
        <v>7.210799999999999</v>
      </c>
      <c r="N105">
        <f t="shared" si="21"/>
        <v>6.5133199999999993</v>
      </c>
      <c r="P105" s="18">
        <f t="shared" si="18"/>
        <v>6.2203199999999992</v>
      </c>
    </row>
    <row r="106" spans="1:17" x14ac:dyDescent="0.25">
      <c r="A106" s="42">
        <f t="shared" si="20"/>
        <v>99</v>
      </c>
      <c r="B106">
        <f t="shared" si="19"/>
        <v>7.0495000000000001</v>
      </c>
      <c r="D106" s="18">
        <f t="shared" si="13"/>
        <v>6.0491600000000005</v>
      </c>
      <c r="F106">
        <f t="shared" si="14"/>
        <v>5.5840300000000003</v>
      </c>
      <c r="H106" s="18">
        <f t="shared" si="15"/>
        <v>6.7336999999999998</v>
      </c>
      <c r="J106">
        <f t="shared" si="16"/>
        <v>6.7163199999999996</v>
      </c>
      <c r="L106" s="18">
        <f t="shared" si="17"/>
        <v>7.3173999999999992</v>
      </c>
      <c r="N106">
        <f t="shared" si="21"/>
        <v>6.6104099999999999</v>
      </c>
      <c r="P106" s="18">
        <f t="shared" si="18"/>
        <v>6.3174100000000006</v>
      </c>
    </row>
    <row r="107" spans="1:17" x14ac:dyDescent="0.25">
      <c r="A107" s="42">
        <f t="shared" si="20"/>
        <v>100</v>
      </c>
      <c r="B107">
        <f t="shared" si="19"/>
        <v>7.1680000000000001</v>
      </c>
      <c r="D107" s="18">
        <f t="shared" si="13"/>
        <v>6.1430000000000007</v>
      </c>
      <c r="F107">
        <f t="shared" si="14"/>
        <v>5.6624999999999996</v>
      </c>
      <c r="H107" s="18">
        <f t="shared" si="15"/>
        <v>6.8390000000000004</v>
      </c>
      <c r="J107">
        <f>($K$56*($A107-50))+$K$57</f>
        <v>6.8100000000000005</v>
      </c>
      <c r="L107" s="18">
        <f t="shared" si="17"/>
        <v>7.4239999999999995</v>
      </c>
      <c r="N107">
        <f t="shared" si="21"/>
        <v>6.7074999999999996</v>
      </c>
      <c r="P107" s="18">
        <f t="shared" si="18"/>
        <v>6.4145000000000003</v>
      </c>
    </row>
    <row r="108" spans="1:17" x14ac:dyDescent="0.25">
      <c r="B108" s="41" t="s">
        <v>19</v>
      </c>
      <c r="C108" s="20" t="s">
        <v>133</v>
      </c>
      <c r="D108" s="27" t="s">
        <v>19</v>
      </c>
      <c r="E108" s="28" t="s">
        <v>133</v>
      </c>
      <c r="F108" s="19" t="s">
        <v>19</v>
      </c>
      <c r="G108" s="20" t="s">
        <v>133</v>
      </c>
      <c r="H108" s="27" t="s">
        <v>19</v>
      </c>
      <c r="I108" s="28" t="s">
        <v>133</v>
      </c>
      <c r="J108" s="19" t="s">
        <v>19</v>
      </c>
      <c r="K108" s="20" t="s">
        <v>133</v>
      </c>
      <c r="L108" s="27" t="s">
        <v>19</v>
      </c>
      <c r="M108" s="28" t="s">
        <v>133</v>
      </c>
      <c r="N108" s="19" t="s">
        <v>19</v>
      </c>
      <c r="O108" s="20" t="s">
        <v>133</v>
      </c>
      <c r="P108" s="27" t="s">
        <v>19</v>
      </c>
      <c r="Q108" s="28" t="s">
        <v>133</v>
      </c>
    </row>
    <row r="109" spans="1:17" x14ac:dyDescent="0.25">
      <c r="B109" s="39" t="s">
        <v>134</v>
      </c>
      <c r="C109" s="22">
        <v>0.13819999999999999</v>
      </c>
      <c r="D109" s="29" t="s">
        <v>134</v>
      </c>
      <c r="E109" s="18">
        <v>0.13</v>
      </c>
      <c r="F109" s="21" t="s">
        <v>134</v>
      </c>
      <c r="G109">
        <v>8.3449999999999996E-2</v>
      </c>
      <c r="H109" s="29" t="s">
        <v>134</v>
      </c>
      <c r="I109" s="17">
        <v>7.4039999999999995E-2</v>
      </c>
      <c r="J109" s="21" t="s">
        <v>134</v>
      </c>
      <c r="K109">
        <v>0.1099</v>
      </c>
      <c r="L109" s="29" t="s">
        <v>134</v>
      </c>
      <c r="M109" s="18">
        <v>0.14219999999999999</v>
      </c>
      <c r="N109" s="21" t="s">
        <v>134</v>
      </c>
      <c r="O109">
        <v>0.11550000000000001</v>
      </c>
      <c r="P109" s="29" t="s">
        <v>134</v>
      </c>
      <c r="Q109" s="17">
        <v>8.4250000000000005E-2</v>
      </c>
    </row>
    <row r="110" spans="1:17" x14ac:dyDescent="0.25">
      <c r="B110" s="40" t="s">
        <v>135</v>
      </c>
      <c r="C110" s="24">
        <v>1.266</v>
      </c>
      <c r="D110" s="30" t="s">
        <v>135</v>
      </c>
      <c r="E110" s="25">
        <v>1.8180000000000001</v>
      </c>
      <c r="F110" s="23" t="s">
        <v>135</v>
      </c>
      <c r="G110" s="24">
        <v>2.052</v>
      </c>
      <c r="H110" s="30" t="s">
        <v>135</v>
      </c>
      <c r="I110" s="25">
        <v>1.9259999999999999</v>
      </c>
      <c r="J110" s="23" t="s">
        <v>135</v>
      </c>
      <c r="K110" s="24">
        <v>3.0979999999999999</v>
      </c>
      <c r="L110" s="30" t="s">
        <v>135</v>
      </c>
      <c r="M110" s="31">
        <v>2.1560000000000001</v>
      </c>
      <c r="N110" s="23" t="s">
        <v>135</v>
      </c>
      <c r="O110" s="24">
        <v>1.716</v>
      </c>
      <c r="P110" s="30" t="s">
        <v>135</v>
      </c>
      <c r="Q110" s="25">
        <v>2.6440000000000001</v>
      </c>
    </row>
    <row r="111" spans="1:17" x14ac:dyDescent="0.25">
      <c r="A111" s="42">
        <f>A107+1</f>
        <v>101</v>
      </c>
      <c r="B111">
        <f>($C$109*($A111-100))+$C$110</f>
        <v>1.4041999999999999</v>
      </c>
      <c r="D111" s="18">
        <f>($E$109*($A111-100))+$E$110</f>
        <v>1.948</v>
      </c>
      <c r="F111">
        <f>($G$109*($A111-100))+$G$110</f>
        <v>2.1354500000000001</v>
      </c>
      <c r="H111" s="18">
        <f>($I$109*($A111-100))+$I$110</f>
        <v>2.0000399999999998</v>
      </c>
      <c r="J111">
        <f>($K$109*($A111-100))+$K$110</f>
        <v>3.2079</v>
      </c>
      <c r="L111" s="18">
        <f>($M$109*($A111-100))+$M$110</f>
        <v>2.2982</v>
      </c>
      <c r="N111">
        <f>($O$109*($A111-100))+$O$110</f>
        <v>1.8314999999999999</v>
      </c>
      <c r="P111" s="18">
        <f>($Q$109*($A111-100))+$Q$110</f>
        <v>2.7282500000000001</v>
      </c>
    </row>
    <row r="112" spans="1:17" x14ac:dyDescent="0.25">
      <c r="A112" s="42">
        <f t="shared" si="20"/>
        <v>102</v>
      </c>
      <c r="B112">
        <f t="shared" ref="B112:B160" si="22">($C$109*($A112-100))+$C$110</f>
        <v>1.5424</v>
      </c>
      <c r="D112" s="18">
        <f t="shared" ref="D112:D160" si="23">($E$109*($A112-100))+$E$110</f>
        <v>2.0780000000000003</v>
      </c>
      <c r="F112">
        <f t="shared" ref="F112:F160" si="24">($G$109*($A112-100))+$G$110</f>
        <v>2.2189000000000001</v>
      </c>
      <c r="H112" s="18">
        <f t="shared" ref="H112:H159" si="25">($I$109*($A112-100))+$I$110</f>
        <v>2.0740799999999999</v>
      </c>
      <c r="J112">
        <f t="shared" ref="J112:J160" si="26">($K$109*($A112-100))+$K$110</f>
        <v>3.3178000000000001</v>
      </c>
      <c r="L112" s="18">
        <f t="shared" ref="L112:L159" si="27">($M$109*($A112-100))+$M$110</f>
        <v>2.4404000000000003</v>
      </c>
      <c r="N112">
        <f t="shared" ref="N112:N159" si="28">($O$109*($A112-100))+$O$110</f>
        <v>1.9470000000000001</v>
      </c>
      <c r="P112" s="18">
        <f t="shared" ref="P112:P160" si="29">($Q$109*($A112-100))+$Q$110</f>
        <v>2.8125</v>
      </c>
    </row>
    <row r="113" spans="1:16" x14ac:dyDescent="0.25">
      <c r="A113" s="42">
        <f t="shared" si="20"/>
        <v>103</v>
      </c>
      <c r="B113">
        <f t="shared" si="22"/>
        <v>1.6806000000000001</v>
      </c>
      <c r="D113" s="18">
        <f t="shared" si="23"/>
        <v>2.2080000000000002</v>
      </c>
      <c r="F113">
        <f t="shared" si="24"/>
        <v>2.3023500000000001</v>
      </c>
      <c r="H113" s="18">
        <f t="shared" si="25"/>
        <v>2.14812</v>
      </c>
      <c r="J113">
        <f t="shared" si="26"/>
        <v>3.4276999999999997</v>
      </c>
      <c r="L113" s="18">
        <f t="shared" si="27"/>
        <v>2.5826000000000002</v>
      </c>
      <c r="N113">
        <f t="shared" si="28"/>
        <v>2.0625</v>
      </c>
      <c r="P113" s="18">
        <f t="shared" si="29"/>
        <v>2.8967499999999999</v>
      </c>
    </row>
    <row r="114" spans="1:16" x14ac:dyDescent="0.25">
      <c r="A114" s="42">
        <f t="shared" si="20"/>
        <v>104</v>
      </c>
      <c r="B114">
        <f t="shared" si="22"/>
        <v>1.8188</v>
      </c>
      <c r="D114" s="18">
        <f t="shared" si="23"/>
        <v>2.3380000000000001</v>
      </c>
      <c r="F114">
        <f t="shared" si="24"/>
        <v>2.3858000000000001</v>
      </c>
      <c r="H114" s="18">
        <f t="shared" si="25"/>
        <v>2.2221599999999997</v>
      </c>
      <c r="J114">
        <f t="shared" si="26"/>
        <v>3.5375999999999999</v>
      </c>
      <c r="L114" s="18">
        <f t="shared" si="27"/>
        <v>2.7248000000000001</v>
      </c>
      <c r="N114">
        <f t="shared" si="28"/>
        <v>2.1779999999999999</v>
      </c>
      <c r="P114" s="18">
        <f t="shared" si="29"/>
        <v>2.9810000000000003</v>
      </c>
    </row>
    <row r="115" spans="1:16" x14ac:dyDescent="0.25">
      <c r="A115" s="42">
        <f t="shared" si="20"/>
        <v>105</v>
      </c>
      <c r="B115">
        <f t="shared" si="22"/>
        <v>1.9569999999999999</v>
      </c>
      <c r="D115" s="18">
        <f t="shared" si="23"/>
        <v>2.468</v>
      </c>
      <c r="F115">
        <f>($G$109*($A115-100))+$G$110</f>
        <v>2.4692500000000002</v>
      </c>
      <c r="H115" s="18">
        <f t="shared" si="25"/>
        <v>2.2961999999999998</v>
      </c>
      <c r="J115">
        <f t="shared" si="26"/>
        <v>3.6475</v>
      </c>
      <c r="L115" s="18">
        <f t="shared" si="27"/>
        <v>2.867</v>
      </c>
      <c r="N115">
        <f t="shared" si="28"/>
        <v>2.2934999999999999</v>
      </c>
      <c r="P115" s="18">
        <f t="shared" si="29"/>
        <v>3.0652500000000003</v>
      </c>
    </row>
    <row r="116" spans="1:16" x14ac:dyDescent="0.25">
      <c r="A116" s="42">
        <f t="shared" si="20"/>
        <v>106</v>
      </c>
      <c r="B116">
        <f>($C$109*($A116-100))+$C$110</f>
        <v>2.0952000000000002</v>
      </c>
      <c r="D116" s="18">
        <f t="shared" si="23"/>
        <v>2.5979999999999999</v>
      </c>
      <c r="F116">
        <f t="shared" si="24"/>
        <v>2.5526999999999997</v>
      </c>
      <c r="H116" s="18">
        <f>($I$109*($A116-100))+$I$110</f>
        <v>2.3702399999999999</v>
      </c>
      <c r="J116">
        <f t="shared" si="26"/>
        <v>3.7573999999999996</v>
      </c>
      <c r="L116" s="18">
        <f t="shared" si="27"/>
        <v>3.0091999999999999</v>
      </c>
      <c r="N116">
        <f t="shared" si="28"/>
        <v>2.4089999999999998</v>
      </c>
      <c r="P116" s="18">
        <f t="shared" si="29"/>
        <v>3.1495000000000002</v>
      </c>
    </row>
    <row r="117" spans="1:16" x14ac:dyDescent="0.25">
      <c r="A117" s="42">
        <f t="shared" si="20"/>
        <v>107</v>
      </c>
      <c r="B117">
        <f t="shared" si="22"/>
        <v>2.2334000000000001</v>
      </c>
      <c r="D117" s="18">
        <f t="shared" si="23"/>
        <v>2.7280000000000002</v>
      </c>
      <c r="F117">
        <f t="shared" si="24"/>
        <v>2.6361499999999998</v>
      </c>
      <c r="H117" s="18">
        <f t="shared" si="25"/>
        <v>2.44428</v>
      </c>
      <c r="J117">
        <f t="shared" si="26"/>
        <v>3.8672999999999997</v>
      </c>
      <c r="L117" s="18">
        <f t="shared" si="27"/>
        <v>3.1514000000000002</v>
      </c>
      <c r="N117">
        <f t="shared" si="28"/>
        <v>2.5244999999999997</v>
      </c>
      <c r="P117" s="18">
        <f t="shared" si="29"/>
        <v>3.2337500000000001</v>
      </c>
    </row>
    <row r="118" spans="1:16" x14ac:dyDescent="0.25">
      <c r="A118" s="42">
        <f t="shared" si="20"/>
        <v>108</v>
      </c>
      <c r="B118">
        <f t="shared" si="22"/>
        <v>2.3715999999999999</v>
      </c>
      <c r="D118" s="18">
        <f t="shared" si="23"/>
        <v>2.8580000000000001</v>
      </c>
      <c r="F118">
        <f t="shared" si="24"/>
        <v>2.7195999999999998</v>
      </c>
      <c r="H118" s="18">
        <f t="shared" si="25"/>
        <v>2.5183200000000001</v>
      </c>
      <c r="J118">
        <f t="shared" si="26"/>
        <v>3.9771999999999998</v>
      </c>
      <c r="L118" s="18">
        <f t="shared" si="27"/>
        <v>3.2936000000000001</v>
      </c>
      <c r="N118">
        <f t="shared" si="28"/>
        <v>2.64</v>
      </c>
      <c r="P118" s="18">
        <f t="shared" si="29"/>
        <v>3.3180000000000001</v>
      </c>
    </row>
    <row r="119" spans="1:16" x14ac:dyDescent="0.25">
      <c r="A119" s="42">
        <f t="shared" si="20"/>
        <v>109</v>
      </c>
      <c r="B119">
        <f t="shared" si="22"/>
        <v>2.5097999999999998</v>
      </c>
      <c r="D119" s="18">
        <f t="shared" si="23"/>
        <v>2.988</v>
      </c>
      <c r="F119">
        <f t="shared" si="24"/>
        <v>2.8030499999999998</v>
      </c>
      <c r="H119" s="18">
        <f t="shared" si="25"/>
        <v>2.5923599999999998</v>
      </c>
      <c r="J119">
        <f t="shared" si="26"/>
        <v>4.0870999999999995</v>
      </c>
      <c r="L119" s="18">
        <f t="shared" si="27"/>
        <v>3.4358</v>
      </c>
      <c r="N119">
        <f t="shared" si="28"/>
        <v>2.7555000000000001</v>
      </c>
      <c r="P119" s="18">
        <f t="shared" si="29"/>
        <v>3.4022500000000004</v>
      </c>
    </row>
    <row r="120" spans="1:16" x14ac:dyDescent="0.25">
      <c r="A120" s="42">
        <f t="shared" si="20"/>
        <v>110</v>
      </c>
      <c r="B120">
        <f t="shared" si="22"/>
        <v>2.6479999999999997</v>
      </c>
      <c r="D120" s="18">
        <f t="shared" si="23"/>
        <v>3.1180000000000003</v>
      </c>
      <c r="F120">
        <f t="shared" si="24"/>
        <v>2.8864999999999998</v>
      </c>
      <c r="H120" s="18">
        <f t="shared" si="25"/>
        <v>2.6663999999999999</v>
      </c>
      <c r="J120">
        <f t="shared" si="26"/>
        <v>4.1970000000000001</v>
      </c>
      <c r="L120" s="18">
        <f t="shared" si="27"/>
        <v>3.5780000000000003</v>
      </c>
      <c r="N120">
        <f t="shared" si="28"/>
        <v>2.871</v>
      </c>
      <c r="P120" s="18">
        <f t="shared" si="29"/>
        <v>3.4865000000000004</v>
      </c>
    </row>
    <row r="121" spans="1:16" x14ac:dyDescent="0.25">
      <c r="A121" s="42">
        <f t="shared" si="20"/>
        <v>111</v>
      </c>
      <c r="B121">
        <f t="shared" si="22"/>
        <v>2.7862</v>
      </c>
      <c r="D121" s="18">
        <f t="shared" si="23"/>
        <v>3.2480000000000002</v>
      </c>
      <c r="F121">
        <f t="shared" si="24"/>
        <v>2.9699499999999999</v>
      </c>
      <c r="H121" s="18">
        <f t="shared" si="25"/>
        <v>2.74044</v>
      </c>
      <c r="J121">
        <f t="shared" si="26"/>
        <v>4.3068999999999997</v>
      </c>
      <c r="L121" s="18">
        <f t="shared" si="27"/>
        <v>3.7202000000000002</v>
      </c>
      <c r="N121">
        <f t="shared" si="28"/>
        <v>2.9864999999999999</v>
      </c>
      <c r="P121" s="18">
        <f t="shared" si="29"/>
        <v>3.5707500000000003</v>
      </c>
    </row>
    <row r="122" spans="1:16" x14ac:dyDescent="0.25">
      <c r="A122" s="42">
        <f t="shared" si="20"/>
        <v>112</v>
      </c>
      <c r="B122">
        <f t="shared" si="22"/>
        <v>2.9243999999999999</v>
      </c>
      <c r="D122" s="18">
        <f t="shared" si="23"/>
        <v>3.3780000000000001</v>
      </c>
      <c r="F122">
        <f t="shared" si="24"/>
        <v>3.0533999999999999</v>
      </c>
      <c r="H122" s="18">
        <f t="shared" si="25"/>
        <v>2.8144799999999996</v>
      </c>
      <c r="J122">
        <f t="shared" si="26"/>
        <v>4.4168000000000003</v>
      </c>
      <c r="L122" s="18">
        <f t="shared" si="27"/>
        <v>3.8624000000000001</v>
      </c>
      <c r="N122">
        <f t="shared" si="28"/>
        <v>3.1020000000000003</v>
      </c>
      <c r="P122" s="18">
        <f t="shared" si="29"/>
        <v>3.6550000000000002</v>
      </c>
    </row>
    <row r="123" spans="1:16" x14ac:dyDescent="0.25">
      <c r="A123" s="42">
        <f t="shared" si="20"/>
        <v>113</v>
      </c>
      <c r="B123">
        <f t="shared" si="22"/>
        <v>3.0625999999999998</v>
      </c>
      <c r="D123" s="18">
        <f t="shared" si="23"/>
        <v>3.508</v>
      </c>
      <c r="F123">
        <f t="shared" si="24"/>
        <v>3.1368499999999999</v>
      </c>
      <c r="H123" s="18">
        <f t="shared" si="25"/>
        <v>2.8885199999999998</v>
      </c>
      <c r="J123">
        <f t="shared" si="26"/>
        <v>4.5266999999999999</v>
      </c>
      <c r="L123" s="18">
        <f t="shared" si="27"/>
        <v>4.0045999999999999</v>
      </c>
      <c r="N123">
        <f t="shared" si="28"/>
        <v>3.2175000000000002</v>
      </c>
      <c r="P123" s="18">
        <f t="shared" si="29"/>
        <v>3.7392500000000002</v>
      </c>
    </row>
    <row r="124" spans="1:16" x14ac:dyDescent="0.25">
      <c r="A124" s="42">
        <f t="shared" si="20"/>
        <v>114</v>
      </c>
      <c r="B124">
        <f t="shared" si="22"/>
        <v>3.2008000000000001</v>
      </c>
      <c r="D124" s="18">
        <f t="shared" si="23"/>
        <v>3.6379999999999999</v>
      </c>
      <c r="F124">
        <f t="shared" si="24"/>
        <v>3.2202999999999999</v>
      </c>
      <c r="H124" s="18">
        <f t="shared" si="25"/>
        <v>2.9625599999999999</v>
      </c>
      <c r="J124">
        <f t="shared" si="26"/>
        <v>4.6365999999999996</v>
      </c>
      <c r="L124" s="18">
        <f t="shared" si="27"/>
        <v>4.1467999999999998</v>
      </c>
      <c r="N124">
        <f t="shared" si="28"/>
        <v>3.3330000000000002</v>
      </c>
      <c r="P124" s="18">
        <f t="shared" si="29"/>
        <v>3.8235000000000001</v>
      </c>
    </row>
    <row r="125" spans="1:16" x14ac:dyDescent="0.25">
      <c r="A125" s="42">
        <f t="shared" si="20"/>
        <v>115</v>
      </c>
      <c r="B125">
        <f t="shared" si="22"/>
        <v>3.339</v>
      </c>
      <c r="D125" s="18">
        <f t="shared" si="23"/>
        <v>3.7680000000000002</v>
      </c>
      <c r="F125">
        <f t="shared" si="24"/>
        <v>3.30375</v>
      </c>
      <c r="H125" s="18">
        <f t="shared" si="25"/>
        <v>3.0366</v>
      </c>
      <c r="J125">
        <f t="shared" si="26"/>
        <v>4.7464999999999993</v>
      </c>
      <c r="L125" s="18">
        <f t="shared" si="27"/>
        <v>4.2889999999999997</v>
      </c>
      <c r="N125">
        <f t="shared" si="28"/>
        <v>3.4485000000000001</v>
      </c>
      <c r="P125" s="18">
        <f t="shared" si="29"/>
        <v>3.9077500000000001</v>
      </c>
    </row>
    <row r="126" spans="1:16" x14ac:dyDescent="0.25">
      <c r="A126" s="42">
        <f t="shared" si="20"/>
        <v>116</v>
      </c>
      <c r="B126">
        <f t="shared" si="22"/>
        <v>3.4771999999999998</v>
      </c>
      <c r="D126" s="18">
        <f t="shared" si="23"/>
        <v>3.8980000000000001</v>
      </c>
      <c r="F126">
        <f t="shared" si="24"/>
        <v>3.3872</v>
      </c>
      <c r="H126" s="18">
        <f t="shared" si="25"/>
        <v>3.1106400000000001</v>
      </c>
      <c r="J126">
        <f t="shared" si="26"/>
        <v>4.8563999999999998</v>
      </c>
      <c r="L126" s="18">
        <f t="shared" si="27"/>
        <v>4.4312000000000005</v>
      </c>
      <c r="N126">
        <f t="shared" si="28"/>
        <v>3.5640000000000001</v>
      </c>
      <c r="P126" s="18">
        <f t="shared" si="29"/>
        <v>3.992</v>
      </c>
    </row>
    <row r="127" spans="1:16" x14ac:dyDescent="0.25">
      <c r="A127" s="42">
        <f t="shared" si="20"/>
        <v>117</v>
      </c>
      <c r="B127">
        <f t="shared" si="22"/>
        <v>3.6153999999999997</v>
      </c>
      <c r="D127" s="18">
        <f t="shared" si="23"/>
        <v>4.0280000000000005</v>
      </c>
      <c r="F127">
        <f t="shared" si="24"/>
        <v>3.47065</v>
      </c>
      <c r="H127" s="18">
        <f t="shared" si="25"/>
        <v>3.1846800000000002</v>
      </c>
      <c r="J127">
        <f t="shared" si="26"/>
        <v>4.9663000000000004</v>
      </c>
      <c r="L127" s="18">
        <f t="shared" si="27"/>
        <v>4.5733999999999995</v>
      </c>
      <c r="N127">
        <f t="shared" si="28"/>
        <v>3.6795</v>
      </c>
      <c r="P127" s="18">
        <f t="shared" si="29"/>
        <v>4.0762499999999999</v>
      </c>
    </row>
    <row r="128" spans="1:16" x14ac:dyDescent="0.25">
      <c r="A128" s="42">
        <f t="shared" si="20"/>
        <v>118</v>
      </c>
      <c r="B128">
        <f t="shared" si="22"/>
        <v>3.7535999999999996</v>
      </c>
      <c r="D128" s="18">
        <f t="shared" si="23"/>
        <v>4.1579999999999995</v>
      </c>
      <c r="F128">
        <f t="shared" si="24"/>
        <v>3.5541</v>
      </c>
      <c r="H128" s="18">
        <f t="shared" si="25"/>
        <v>3.2587199999999998</v>
      </c>
      <c r="J128">
        <f t="shared" si="26"/>
        <v>5.0762</v>
      </c>
      <c r="L128" s="18">
        <f t="shared" si="27"/>
        <v>4.7156000000000002</v>
      </c>
      <c r="N128">
        <f t="shared" si="28"/>
        <v>3.7949999999999999</v>
      </c>
      <c r="P128" s="18">
        <f t="shared" si="29"/>
        <v>4.1605000000000008</v>
      </c>
    </row>
    <row r="129" spans="1:16" x14ac:dyDescent="0.25">
      <c r="A129" s="42">
        <f t="shared" si="20"/>
        <v>119</v>
      </c>
      <c r="B129">
        <f t="shared" si="22"/>
        <v>3.8917999999999999</v>
      </c>
      <c r="D129" s="18">
        <f t="shared" si="23"/>
        <v>4.2880000000000003</v>
      </c>
      <c r="F129">
        <f t="shared" si="24"/>
        <v>3.6375500000000001</v>
      </c>
      <c r="H129" s="18">
        <f t="shared" si="25"/>
        <v>3.3327599999999995</v>
      </c>
      <c r="J129">
        <f t="shared" si="26"/>
        <v>5.1860999999999997</v>
      </c>
      <c r="L129" s="18">
        <f t="shared" si="27"/>
        <v>4.8578000000000001</v>
      </c>
      <c r="N129">
        <f t="shared" si="28"/>
        <v>3.9104999999999999</v>
      </c>
      <c r="P129" s="18">
        <f t="shared" si="29"/>
        <v>4.2447499999999998</v>
      </c>
    </row>
    <row r="130" spans="1:16" x14ac:dyDescent="0.25">
      <c r="A130" s="42">
        <f t="shared" si="20"/>
        <v>120</v>
      </c>
      <c r="B130">
        <f t="shared" si="22"/>
        <v>4.0299999999999994</v>
      </c>
      <c r="D130" s="18">
        <f t="shared" si="23"/>
        <v>4.4180000000000001</v>
      </c>
      <c r="F130">
        <f t="shared" si="24"/>
        <v>3.7210000000000001</v>
      </c>
      <c r="H130" s="18">
        <f t="shared" si="25"/>
        <v>3.4067999999999996</v>
      </c>
      <c r="J130">
        <f t="shared" si="26"/>
        <v>5.2959999999999994</v>
      </c>
      <c r="L130" s="18">
        <f t="shared" si="27"/>
        <v>5</v>
      </c>
      <c r="N130">
        <f t="shared" si="28"/>
        <v>4.0259999999999998</v>
      </c>
      <c r="P130" s="18">
        <f t="shared" si="29"/>
        <v>4.3290000000000006</v>
      </c>
    </row>
    <row r="131" spans="1:16" x14ac:dyDescent="0.25">
      <c r="A131" s="42">
        <f t="shared" si="20"/>
        <v>121</v>
      </c>
      <c r="B131">
        <f t="shared" si="22"/>
        <v>4.1681999999999997</v>
      </c>
      <c r="D131" s="18">
        <f t="shared" si="23"/>
        <v>4.548</v>
      </c>
      <c r="F131">
        <f t="shared" si="24"/>
        <v>3.8044500000000001</v>
      </c>
      <c r="H131" s="18">
        <f t="shared" si="25"/>
        <v>3.4808399999999997</v>
      </c>
      <c r="J131">
        <f t="shared" si="26"/>
        <v>5.4058999999999999</v>
      </c>
      <c r="L131" s="18">
        <f t="shared" si="27"/>
        <v>5.1421999999999999</v>
      </c>
      <c r="N131">
        <f t="shared" si="28"/>
        <v>4.1414999999999997</v>
      </c>
      <c r="P131" s="18">
        <f t="shared" si="29"/>
        <v>4.4132500000000006</v>
      </c>
    </row>
    <row r="132" spans="1:16" x14ac:dyDescent="0.25">
      <c r="A132" s="42">
        <f t="shared" si="20"/>
        <v>122</v>
      </c>
      <c r="B132">
        <f t="shared" si="22"/>
        <v>4.3064</v>
      </c>
      <c r="D132" s="18">
        <f t="shared" si="23"/>
        <v>4.6780000000000008</v>
      </c>
      <c r="F132">
        <f t="shared" si="24"/>
        <v>3.8879000000000001</v>
      </c>
      <c r="H132" s="18">
        <f t="shared" si="25"/>
        <v>3.5548799999999998</v>
      </c>
      <c r="J132">
        <f t="shared" si="26"/>
        <v>5.5157999999999996</v>
      </c>
      <c r="L132" s="18">
        <f t="shared" si="27"/>
        <v>5.2843999999999998</v>
      </c>
      <c r="N132">
        <f t="shared" si="28"/>
        <v>4.2569999999999997</v>
      </c>
      <c r="P132" s="18">
        <f t="shared" si="29"/>
        <v>4.4975000000000005</v>
      </c>
    </row>
    <row r="133" spans="1:16" x14ac:dyDescent="0.25">
      <c r="A133" s="42">
        <f t="shared" si="20"/>
        <v>123</v>
      </c>
      <c r="B133">
        <f t="shared" si="22"/>
        <v>4.4445999999999994</v>
      </c>
      <c r="D133" s="18">
        <f t="shared" si="23"/>
        <v>4.8079999999999998</v>
      </c>
      <c r="F133">
        <f t="shared" si="24"/>
        <v>3.9713500000000002</v>
      </c>
      <c r="H133" s="18">
        <f t="shared" si="25"/>
        <v>3.6289199999999999</v>
      </c>
      <c r="J133">
        <f t="shared" si="26"/>
        <v>5.6257000000000001</v>
      </c>
      <c r="L133" s="18">
        <f t="shared" si="27"/>
        <v>5.4266000000000005</v>
      </c>
      <c r="N133">
        <f t="shared" si="28"/>
        <v>4.3725000000000005</v>
      </c>
      <c r="P133" s="18">
        <f t="shared" si="29"/>
        <v>4.5817500000000004</v>
      </c>
    </row>
    <row r="134" spans="1:16" x14ac:dyDescent="0.25">
      <c r="A134" s="42">
        <f t="shared" si="20"/>
        <v>124</v>
      </c>
      <c r="B134">
        <f t="shared" si="22"/>
        <v>4.5827999999999998</v>
      </c>
      <c r="D134" s="18">
        <f t="shared" si="23"/>
        <v>4.9380000000000006</v>
      </c>
      <c r="F134">
        <f t="shared" si="24"/>
        <v>4.0548000000000002</v>
      </c>
      <c r="H134" s="18">
        <f t="shared" si="25"/>
        <v>3.70296</v>
      </c>
      <c r="J134">
        <f t="shared" si="26"/>
        <v>5.7355999999999998</v>
      </c>
      <c r="L134" s="18">
        <f t="shared" si="27"/>
        <v>5.5687999999999995</v>
      </c>
      <c r="N134">
        <f t="shared" si="28"/>
        <v>4.4880000000000004</v>
      </c>
      <c r="P134" s="18">
        <f t="shared" si="29"/>
        <v>4.6660000000000004</v>
      </c>
    </row>
    <row r="135" spans="1:16" x14ac:dyDescent="0.25">
      <c r="A135" s="42">
        <f t="shared" si="20"/>
        <v>125</v>
      </c>
      <c r="B135">
        <f t="shared" si="22"/>
        <v>4.7210000000000001</v>
      </c>
      <c r="D135" s="18">
        <f t="shared" si="23"/>
        <v>5.0679999999999996</v>
      </c>
      <c r="F135">
        <f t="shared" si="24"/>
        <v>4.1382499999999993</v>
      </c>
      <c r="H135" s="18">
        <f t="shared" si="25"/>
        <v>3.7770000000000001</v>
      </c>
      <c r="J135">
        <f t="shared" si="26"/>
        <v>5.8454999999999995</v>
      </c>
      <c r="L135" s="18">
        <f t="shared" si="27"/>
        <v>5.7110000000000003</v>
      </c>
      <c r="N135">
        <f t="shared" si="28"/>
        <v>4.6035000000000004</v>
      </c>
      <c r="P135" s="18">
        <f t="shared" si="29"/>
        <v>4.7502500000000003</v>
      </c>
    </row>
    <row r="136" spans="1:16" x14ac:dyDescent="0.25">
      <c r="A136" s="42">
        <f t="shared" si="20"/>
        <v>126</v>
      </c>
      <c r="B136">
        <f t="shared" si="22"/>
        <v>4.8591999999999995</v>
      </c>
      <c r="D136" s="18">
        <f t="shared" si="23"/>
        <v>5.1980000000000004</v>
      </c>
      <c r="F136">
        <f t="shared" si="24"/>
        <v>4.2217000000000002</v>
      </c>
      <c r="H136" s="18">
        <f t="shared" si="25"/>
        <v>3.8510399999999998</v>
      </c>
      <c r="J136">
        <f t="shared" si="26"/>
        <v>5.9554</v>
      </c>
      <c r="L136" s="18">
        <f t="shared" si="27"/>
        <v>5.8531999999999993</v>
      </c>
      <c r="N136">
        <f t="shared" si="28"/>
        <v>4.7190000000000003</v>
      </c>
      <c r="P136" s="18">
        <f t="shared" si="29"/>
        <v>4.8345000000000002</v>
      </c>
    </row>
    <row r="137" spans="1:16" x14ac:dyDescent="0.25">
      <c r="A137" s="42">
        <f t="shared" si="20"/>
        <v>127</v>
      </c>
      <c r="B137">
        <f t="shared" si="22"/>
        <v>4.9973999999999998</v>
      </c>
      <c r="D137" s="18">
        <f t="shared" si="23"/>
        <v>5.3280000000000003</v>
      </c>
      <c r="F137">
        <f t="shared" si="24"/>
        <v>4.3051499999999994</v>
      </c>
      <c r="H137" s="18">
        <f t="shared" si="25"/>
        <v>3.9250799999999995</v>
      </c>
      <c r="J137">
        <f t="shared" si="26"/>
        <v>6.0652999999999997</v>
      </c>
      <c r="L137" s="18">
        <f t="shared" si="27"/>
        <v>5.9954000000000001</v>
      </c>
      <c r="N137">
        <f t="shared" si="28"/>
        <v>4.8345000000000002</v>
      </c>
      <c r="P137" s="18">
        <f t="shared" si="29"/>
        <v>4.9187500000000002</v>
      </c>
    </row>
    <row r="138" spans="1:16" x14ac:dyDescent="0.25">
      <c r="A138" s="42">
        <f t="shared" si="20"/>
        <v>128</v>
      </c>
      <c r="B138">
        <f t="shared" si="22"/>
        <v>5.1356000000000002</v>
      </c>
      <c r="D138" s="18">
        <f t="shared" si="23"/>
        <v>5.4580000000000002</v>
      </c>
      <c r="F138">
        <f t="shared" si="24"/>
        <v>4.3886000000000003</v>
      </c>
      <c r="H138" s="18">
        <f t="shared" si="25"/>
        <v>3.9991199999999996</v>
      </c>
      <c r="J138">
        <f t="shared" si="26"/>
        <v>6.1752000000000002</v>
      </c>
      <c r="L138" s="18">
        <f t="shared" si="27"/>
        <v>6.1375999999999999</v>
      </c>
      <c r="N138">
        <f t="shared" si="28"/>
        <v>4.95</v>
      </c>
      <c r="P138" s="18">
        <f t="shared" si="29"/>
        <v>5.0030000000000001</v>
      </c>
    </row>
    <row r="139" spans="1:16" x14ac:dyDescent="0.25">
      <c r="A139" s="42">
        <f t="shared" si="20"/>
        <v>129</v>
      </c>
      <c r="B139">
        <f t="shared" si="22"/>
        <v>5.2737999999999996</v>
      </c>
      <c r="D139" s="18">
        <f t="shared" si="23"/>
        <v>5.5880000000000001</v>
      </c>
      <c r="F139">
        <f t="shared" si="24"/>
        <v>4.4720499999999994</v>
      </c>
      <c r="H139" s="18">
        <f t="shared" si="25"/>
        <v>4.0731599999999997</v>
      </c>
      <c r="J139">
        <f t="shared" si="26"/>
        <v>6.2850999999999999</v>
      </c>
      <c r="L139" s="18">
        <f t="shared" si="27"/>
        <v>6.2797999999999998</v>
      </c>
      <c r="N139">
        <f t="shared" si="28"/>
        <v>5.0655000000000001</v>
      </c>
      <c r="P139" s="18">
        <f t="shared" si="29"/>
        <v>5.0872500000000009</v>
      </c>
    </row>
    <row r="140" spans="1:16" x14ac:dyDescent="0.25">
      <c r="A140" s="42">
        <f t="shared" si="20"/>
        <v>130</v>
      </c>
      <c r="B140">
        <f t="shared" si="22"/>
        <v>5.4119999999999999</v>
      </c>
      <c r="D140" s="18">
        <f t="shared" si="23"/>
        <v>5.718</v>
      </c>
      <c r="F140">
        <f t="shared" si="24"/>
        <v>4.5555000000000003</v>
      </c>
      <c r="H140" s="18">
        <f t="shared" si="25"/>
        <v>4.1471999999999998</v>
      </c>
      <c r="J140">
        <f t="shared" si="26"/>
        <v>6.3949999999999996</v>
      </c>
      <c r="L140" s="18">
        <f t="shared" si="27"/>
        <v>6.4220000000000006</v>
      </c>
      <c r="N140">
        <f t="shared" si="28"/>
        <v>5.181</v>
      </c>
      <c r="P140" s="18">
        <f t="shared" si="29"/>
        <v>5.1715</v>
      </c>
    </row>
    <row r="141" spans="1:16" x14ac:dyDescent="0.25">
      <c r="A141" s="42">
        <f t="shared" ref="A141:A160" si="30">A140+1</f>
        <v>131</v>
      </c>
      <c r="B141">
        <f t="shared" si="22"/>
        <v>5.5501999999999994</v>
      </c>
      <c r="D141" s="18">
        <f t="shared" si="23"/>
        <v>5.8480000000000008</v>
      </c>
      <c r="F141">
        <f t="shared" si="24"/>
        <v>4.6389499999999995</v>
      </c>
      <c r="H141" s="18">
        <f t="shared" si="25"/>
        <v>4.2212399999999999</v>
      </c>
      <c r="J141">
        <f t="shared" si="26"/>
        <v>6.5048999999999992</v>
      </c>
      <c r="L141" s="18">
        <f t="shared" si="27"/>
        <v>6.5641999999999996</v>
      </c>
      <c r="N141">
        <f t="shared" si="28"/>
        <v>5.2965</v>
      </c>
      <c r="P141" s="18">
        <f t="shared" si="29"/>
        <v>5.2557500000000008</v>
      </c>
    </row>
    <row r="142" spans="1:16" x14ac:dyDescent="0.25">
      <c r="A142" s="42">
        <f t="shared" si="30"/>
        <v>132</v>
      </c>
      <c r="B142">
        <f t="shared" si="22"/>
        <v>5.6883999999999997</v>
      </c>
      <c r="D142" s="18">
        <f t="shared" si="23"/>
        <v>5.9779999999999998</v>
      </c>
      <c r="F142">
        <f t="shared" si="24"/>
        <v>4.7224000000000004</v>
      </c>
      <c r="H142" s="18">
        <f t="shared" si="25"/>
        <v>4.29528</v>
      </c>
      <c r="J142">
        <f t="shared" si="26"/>
        <v>6.6147999999999998</v>
      </c>
      <c r="L142" s="18">
        <f t="shared" si="27"/>
        <v>6.7064000000000004</v>
      </c>
      <c r="N142">
        <f t="shared" si="28"/>
        <v>5.4119999999999999</v>
      </c>
      <c r="P142" s="18">
        <f t="shared" si="29"/>
        <v>5.34</v>
      </c>
    </row>
    <row r="143" spans="1:16" x14ac:dyDescent="0.25">
      <c r="A143" s="42">
        <f t="shared" si="30"/>
        <v>133</v>
      </c>
      <c r="B143">
        <f t="shared" si="22"/>
        <v>5.8266</v>
      </c>
      <c r="D143" s="18">
        <f t="shared" si="23"/>
        <v>6.1080000000000005</v>
      </c>
      <c r="F143">
        <f t="shared" si="24"/>
        <v>4.8058499999999995</v>
      </c>
      <c r="H143" s="18">
        <f t="shared" si="25"/>
        <v>4.3693200000000001</v>
      </c>
      <c r="J143">
        <f t="shared" si="26"/>
        <v>6.7247000000000003</v>
      </c>
      <c r="L143" s="18">
        <f t="shared" si="27"/>
        <v>6.8485999999999994</v>
      </c>
      <c r="N143">
        <f t="shared" si="28"/>
        <v>5.5274999999999999</v>
      </c>
      <c r="P143" s="18">
        <f t="shared" si="29"/>
        <v>5.4242500000000007</v>
      </c>
    </row>
    <row r="144" spans="1:16" x14ac:dyDescent="0.25">
      <c r="A144" s="42">
        <f t="shared" si="30"/>
        <v>134</v>
      </c>
      <c r="B144">
        <f t="shared" si="22"/>
        <v>5.9647999999999994</v>
      </c>
      <c r="D144" s="18">
        <f t="shared" si="23"/>
        <v>6.2379999999999995</v>
      </c>
      <c r="F144">
        <f t="shared" si="24"/>
        <v>4.8893000000000004</v>
      </c>
      <c r="H144" s="18">
        <f t="shared" si="25"/>
        <v>4.4433600000000002</v>
      </c>
      <c r="J144">
        <f t="shared" si="26"/>
        <v>6.8346</v>
      </c>
      <c r="L144" s="18">
        <f t="shared" si="27"/>
        <v>6.9908000000000001</v>
      </c>
      <c r="N144">
        <f t="shared" si="28"/>
        <v>5.6429999999999998</v>
      </c>
      <c r="P144" s="18">
        <f t="shared" si="29"/>
        <v>5.5084999999999997</v>
      </c>
    </row>
    <row r="145" spans="1:20" x14ac:dyDescent="0.25">
      <c r="A145" s="42">
        <f t="shared" si="30"/>
        <v>135</v>
      </c>
      <c r="B145">
        <f t="shared" si="22"/>
        <v>6.1029999999999998</v>
      </c>
      <c r="D145" s="18">
        <f t="shared" si="23"/>
        <v>6.3680000000000003</v>
      </c>
      <c r="F145">
        <f t="shared" si="24"/>
        <v>4.9727499999999996</v>
      </c>
      <c r="H145" s="18">
        <f t="shared" si="25"/>
        <v>4.5173999999999994</v>
      </c>
      <c r="J145">
        <f t="shared" si="26"/>
        <v>6.9444999999999997</v>
      </c>
      <c r="L145" s="18">
        <f t="shared" si="27"/>
        <v>7.1329999999999991</v>
      </c>
      <c r="N145">
        <f t="shared" si="28"/>
        <v>5.7585000000000006</v>
      </c>
      <c r="P145" s="18">
        <f t="shared" si="29"/>
        <v>5.5927500000000006</v>
      </c>
    </row>
    <row r="146" spans="1:20" x14ac:dyDescent="0.25">
      <c r="A146" s="42">
        <f t="shared" si="30"/>
        <v>136</v>
      </c>
      <c r="B146">
        <f t="shared" si="22"/>
        <v>6.2411999999999992</v>
      </c>
      <c r="D146" s="18">
        <f t="shared" si="23"/>
        <v>6.4979999999999993</v>
      </c>
      <c r="F146">
        <f t="shared" si="24"/>
        <v>5.0562000000000005</v>
      </c>
      <c r="H146" s="18">
        <f t="shared" si="25"/>
        <v>4.5914399999999995</v>
      </c>
      <c r="J146">
        <f t="shared" si="26"/>
        <v>7.0543999999999993</v>
      </c>
      <c r="L146" s="18">
        <f t="shared" si="27"/>
        <v>7.2751999999999999</v>
      </c>
      <c r="N146">
        <f t="shared" si="28"/>
        <v>5.8740000000000006</v>
      </c>
      <c r="P146" s="18">
        <f t="shared" si="29"/>
        <v>5.6770000000000005</v>
      </c>
    </row>
    <row r="147" spans="1:20" x14ac:dyDescent="0.25">
      <c r="A147" s="42">
        <f t="shared" si="30"/>
        <v>137</v>
      </c>
      <c r="B147">
        <f t="shared" si="22"/>
        <v>6.3793999999999995</v>
      </c>
      <c r="D147" s="18">
        <f t="shared" si="23"/>
        <v>6.6280000000000001</v>
      </c>
      <c r="F147">
        <f t="shared" si="24"/>
        <v>5.1396499999999996</v>
      </c>
      <c r="H147" s="18">
        <f t="shared" si="25"/>
        <v>4.6654799999999996</v>
      </c>
      <c r="J147">
        <f t="shared" si="26"/>
        <v>7.1642999999999999</v>
      </c>
      <c r="L147" s="18">
        <f t="shared" si="27"/>
        <v>7.4174000000000007</v>
      </c>
      <c r="N147">
        <f t="shared" si="28"/>
        <v>5.9895000000000005</v>
      </c>
      <c r="P147" s="18">
        <f t="shared" si="29"/>
        <v>5.7612500000000004</v>
      </c>
    </row>
    <row r="148" spans="1:20" x14ac:dyDescent="0.25">
      <c r="A148" s="42">
        <f t="shared" si="30"/>
        <v>138</v>
      </c>
      <c r="B148">
        <f t="shared" si="22"/>
        <v>6.5175999999999998</v>
      </c>
      <c r="D148" s="18">
        <f t="shared" si="23"/>
        <v>6.7580000000000009</v>
      </c>
      <c r="F148">
        <f t="shared" si="24"/>
        <v>5.2231000000000005</v>
      </c>
      <c r="H148" s="18">
        <f t="shared" si="25"/>
        <v>4.7395199999999997</v>
      </c>
      <c r="J148">
        <f t="shared" si="26"/>
        <v>7.2741999999999996</v>
      </c>
      <c r="L148" s="18">
        <f t="shared" si="27"/>
        <v>7.5595999999999997</v>
      </c>
      <c r="N148">
        <f t="shared" si="28"/>
        <v>6.1050000000000004</v>
      </c>
      <c r="P148" s="18">
        <f t="shared" si="29"/>
        <v>5.8455000000000004</v>
      </c>
    </row>
    <row r="149" spans="1:20" x14ac:dyDescent="0.25">
      <c r="A149" s="42">
        <f t="shared" si="30"/>
        <v>139</v>
      </c>
      <c r="B149">
        <f t="shared" si="22"/>
        <v>6.6557999999999993</v>
      </c>
      <c r="D149" s="18">
        <f t="shared" si="23"/>
        <v>6.8879999999999999</v>
      </c>
      <c r="F149">
        <f t="shared" si="24"/>
        <v>5.3065499999999997</v>
      </c>
      <c r="H149" s="18">
        <f t="shared" si="25"/>
        <v>4.8135599999999998</v>
      </c>
      <c r="J149">
        <f t="shared" si="26"/>
        <v>7.3841000000000001</v>
      </c>
      <c r="L149" s="18">
        <f t="shared" si="27"/>
        <v>7.7018000000000004</v>
      </c>
      <c r="N149">
        <f t="shared" si="28"/>
        <v>6.2205000000000004</v>
      </c>
      <c r="P149" s="18">
        <f t="shared" si="29"/>
        <v>5.9297500000000003</v>
      </c>
    </row>
    <row r="150" spans="1:20" x14ac:dyDescent="0.25">
      <c r="A150" s="42">
        <f t="shared" si="30"/>
        <v>140</v>
      </c>
      <c r="B150">
        <f t="shared" si="22"/>
        <v>6.7939999999999996</v>
      </c>
      <c r="D150" s="18">
        <f t="shared" si="23"/>
        <v>7.0180000000000007</v>
      </c>
      <c r="F150">
        <f t="shared" si="24"/>
        <v>5.3900000000000006</v>
      </c>
      <c r="H150" s="18">
        <f t="shared" si="25"/>
        <v>4.8875999999999999</v>
      </c>
      <c r="J150">
        <f t="shared" si="26"/>
        <v>7.4939999999999998</v>
      </c>
      <c r="L150" s="18">
        <f t="shared" si="27"/>
        <v>7.8439999999999994</v>
      </c>
      <c r="N150">
        <f t="shared" si="28"/>
        <v>6.3360000000000003</v>
      </c>
      <c r="P150" s="18">
        <f t="shared" si="29"/>
        <v>6.0140000000000002</v>
      </c>
    </row>
    <row r="151" spans="1:20" x14ac:dyDescent="0.25">
      <c r="A151" s="42">
        <f t="shared" si="30"/>
        <v>141</v>
      </c>
      <c r="B151">
        <f t="shared" si="22"/>
        <v>6.9321999999999999</v>
      </c>
      <c r="D151" s="18">
        <f t="shared" si="23"/>
        <v>7.1479999999999997</v>
      </c>
      <c r="F151">
        <f t="shared" si="24"/>
        <v>5.4734499999999997</v>
      </c>
      <c r="H151" s="18">
        <f t="shared" si="25"/>
        <v>4.9616400000000001</v>
      </c>
      <c r="J151">
        <f t="shared" si="26"/>
        <v>7.6038999999999994</v>
      </c>
      <c r="L151" s="18">
        <f t="shared" si="27"/>
        <v>7.9862000000000002</v>
      </c>
      <c r="N151">
        <f t="shared" si="28"/>
        <v>6.4515000000000002</v>
      </c>
      <c r="P151" s="18">
        <f t="shared" si="29"/>
        <v>6.0982500000000002</v>
      </c>
    </row>
    <row r="152" spans="1:20" x14ac:dyDescent="0.25">
      <c r="A152" s="42">
        <f t="shared" si="30"/>
        <v>142</v>
      </c>
      <c r="B152">
        <f t="shared" si="22"/>
        <v>7.0703999999999994</v>
      </c>
      <c r="D152" s="18">
        <f t="shared" si="23"/>
        <v>7.2780000000000005</v>
      </c>
      <c r="F152">
        <f t="shared" si="24"/>
        <v>5.5568999999999997</v>
      </c>
      <c r="H152" s="18">
        <f t="shared" si="25"/>
        <v>5.0356800000000002</v>
      </c>
      <c r="J152">
        <f t="shared" si="26"/>
        <v>7.7138</v>
      </c>
      <c r="L152" s="18">
        <f t="shared" si="27"/>
        <v>8.1283999999999992</v>
      </c>
      <c r="N152">
        <f t="shared" si="28"/>
        <v>6.5670000000000002</v>
      </c>
      <c r="P152" s="18">
        <f t="shared" si="29"/>
        <v>6.182500000000001</v>
      </c>
    </row>
    <row r="153" spans="1:20" x14ac:dyDescent="0.25">
      <c r="A153" s="42">
        <f t="shared" si="30"/>
        <v>143</v>
      </c>
      <c r="B153">
        <f t="shared" si="22"/>
        <v>7.2085999999999997</v>
      </c>
      <c r="D153" s="18">
        <f t="shared" si="23"/>
        <v>7.4079999999999995</v>
      </c>
      <c r="F153">
        <f t="shared" si="24"/>
        <v>5.6403499999999998</v>
      </c>
      <c r="H153" s="18">
        <f t="shared" si="25"/>
        <v>5.1097199999999994</v>
      </c>
      <c r="J153">
        <f t="shared" si="26"/>
        <v>7.8236999999999997</v>
      </c>
      <c r="L153" s="18">
        <f t="shared" si="27"/>
        <v>8.2706</v>
      </c>
      <c r="N153">
        <f t="shared" si="28"/>
        <v>6.6825000000000001</v>
      </c>
      <c r="P153" s="18">
        <f t="shared" si="29"/>
        <v>6.26675</v>
      </c>
    </row>
    <row r="154" spans="1:20" x14ac:dyDescent="0.25">
      <c r="A154" s="42">
        <f t="shared" si="30"/>
        <v>144</v>
      </c>
      <c r="B154">
        <f t="shared" si="22"/>
        <v>7.3468</v>
      </c>
      <c r="D154" s="18">
        <f t="shared" si="23"/>
        <v>7.5380000000000003</v>
      </c>
      <c r="F154">
        <f t="shared" si="24"/>
        <v>5.7237999999999998</v>
      </c>
      <c r="H154" s="18">
        <f t="shared" si="25"/>
        <v>5.1837599999999995</v>
      </c>
      <c r="J154">
        <f t="shared" si="26"/>
        <v>7.9335999999999993</v>
      </c>
      <c r="L154" s="18">
        <f t="shared" si="27"/>
        <v>8.4128000000000007</v>
      </c>
      <c r="N154">
        <f t="shared" si="28"/>
        <v>6.798</v>
      </c>
      <c r="P154" s="18">
        <f t="shared" si="29"/>
        <v>6.3510000000000009</v>
      </c>
    </row>
    <row r="155" spans="1:20" x14ac:dyDescent="0.25">
      <c r="A155" s="42">
        <f t="shared" si="30"/>
        <v>145</v>
      </c>
      <c r="B155">
        <f t="shared" si="22"/>
        <v>7.4849999999999994</v>
      </c>
      <c r="D155" s="18">
        <f t="shared" si="23"/>
        <v>7.668000000000001</v>
      </c>
      <c r="F155">
        <f t="shared" si="24"/>
        <v>5.8072499999999998</v>
      </c>
      <c r="H155" s="18">
        <f t="shared" si="25"/>
        <v>5.2577999999999996</v>
      </c>
      <c r="J155">
        <f t="shared" si="26"/>
        <v>8.0434999999999999</v>
      </c>
      <c r="L155" s="18">
        <f t="shared" si="27"/>
        <v>8.5549999999999997</v>
      </c>
      <c r="N155">
        <f t="shared" si="28"/>
        <v>6.9135000000000009</v>
      </c>
      <c r="P155" s="18">
        <f t="shared" si="29"/>
        <v>6.4352499999999999</v>
      </c>
    </row>
    <row r="156" spans="1:20" x14ac:dyDescent="0.25">
      <c r="A156" s="42">
        <f t="shared" si="30"/>
        <v>146</v>
      </c>
      <c r="B156">
        <f t="shared" si="22"/>
        <v>7.6231999999999998</v>
      </c>
      <c r="D156" s="18">
        <f t="shared" si="23"/>
        <v>7.798</v>
      </c>
      <c r="F156">
        <f t="shared" si="24"/>
        <v>5.8906999999999998</v>
      </c>
      <c r="H156" s="18">
        <f t="shared" si="25"/>
        <v>5.3318399999999997</v>
      </c>
      <c r="J156">
        <f t="shared" si="26"/>
        <v>8.1533999999999995</v>
      </c>
      <c r="L156" s="18">
        <f t="shared" si="27"/>
        <v>8.6972000000000005</v>
      </c>
      <c r="N156">
        <f t="shared" si="28"/>
        <v>7.0290000000000008</v>
      </c>
      <c r="P156" s="18">
        <f t="shared" si="29"/>
        <v>6.5195000000000007</v>
      </c>
    </row>
    <row r="157" spans="1:20" x14ac:dyDescent="0.25">
      <c r="A157" s="42">
        <f t="shared" si="30"/>
        <v>147</v>
      </c>
      <c r="B157">
        <f t="shared" si="22"/>
        <v>7.7613999999999992</v>
      </c>
      <c r="D157" s="18">
        <f t="shared" si="23"/>
        <v>7.9280000000000008</v>
      </c>
      <c r="F157">
        <f t="shared" si="24"/>
        <v>5.9741499999999998</v>
      </c>
      <c r="H157" s="18">
        <f t="shared" si="25"/>
        <v>5.4058799999999998</v>
      </c>
      <c r="J157">
        <f t="shared" si="26"/>
        <v>8.263300000000001</v>
      </c>
      <c r="L157" s="18">
        <f t="shared" si="27"/>
        <v>8.8393999999999995</v>
      </c>
      <c r="N157">
        <f t="shared" si="28"/>
        <v>7.1445000000000007</v>
      </c>
      <c r="P157" s="18">
        <f t="shared" si="29"/>
        <v>6.6037499999999998</v>
      </c>
    </row>
    <row r="158" spans="1:20" x14ac:dyDescent="0.25">
      <c r="A158" s="42">
        <f t="shared" si="30"/>
        <v>148</v>
      </c>
      <c r="B158">
        <f t="shared" si="22"/>
        <v>7.8995999999999995</v>
      </c>
      <c r="D158" s="18">
        <f t="shared" si="23"/>
        <v>8.0579999999999998</v>
      </c>
      <c r="F158">
        <f t="shared" si="24"/>
        <v>6.057599999999999</v>
      </c>
      <c r="H158" s="18">
        <f t="shared" si="25"/>
        <v>5.4799199999999999</v>
      </c>
      <c r="J158">
        <f t="shared" si="26"/>
        <v>8.3732000000000006</v>
      </c>
      <c r="L158" s="18">
        <f t="shared" si="27"/>
        <v>8.9816000000000003</v>
      </c>
      <c r="N158">
        <f t="shared" si="28"/>
        <v>7.2600000000000007</v>
      </c>
      <c r="P158" s="18">
        <f t="shared" si="29"/>
        <v>6.6880000000000006</v>
      </c>
    </row>
    <row r="159" spans="1:20" x14ac:dyDescent="0.25">
      <c r="A159" s="42">
        <f t="shared" si="30"/>
        <v>149</v>
      </c>
      <c r="B159">
        <f t="shared" si="22"/>
        <v>8.0378000000000007</v>
      </c>
      <c r="D159" s="18">
        <f t="shared" si="23"/>
        <v>8.1880000000000006</v>
      </c>
      <c r="F159">
        <f t="shared" si="24"/>
        <v>6.1410499999999999</v>
      </c>
      <c r="H159" s="18">
        <f t="shared" si="25"/>
        <v>5.55396</v>
      </c>
      <c r="J159">
        <f t="shared" si="26"/>
        <v>8.4831000000000003</v>
      </c>
      <c r="L159" s="18">
        <f t="shared" si="27"/>
        <v>9.1237999999999992</v>
      </c>
      <c r="N159">
        <f t="shared" si="28"/>
        <v>7.3755000000000006</v>
      </c>
      <c r="P159" s="18">
        <f t="shared" si="29"/>
        <v>6.7722500000000005</v>
      </c>
      <c r="T159" s="15"/>
    </row>
    <row r="160" spans="1:20" ht="17.25" thickBot="1" x14ac:dyDescent="0.3">
      <c r="A160" s="42">
        <f t="shared" si="30"/>
        <v>150</v>
      </c>
      <c r="B160">
        <f t="shared" si="22"/>
        <v>8.1759999999999984</v>
      </c>
      <c r="D160" s="18">
        <f t="shared" si="23"/>
        <v>8.3179999999999996</v>
      </c>
      <c r="F160">
        <f t="shared" si="24"/>
        <v>6.224499999999999</v>
      </c>
      <c r="H160" s="18">
        <f>($I$109*($A160-100))+$I$110</f>
        <v>5.6280000000000001</v>
      </c>
      <c r="J160">
        <f t="shared" si="26"/>
        <v>8.593</v>
      </c>
      <c r="L160" s="18">
        <f>($M$109*($A160-100))+$M$110</f>
        <v>9.266</v>
      </c>
      <c r="N160">
        <f>($O$109*($A160-100))+$O$110</f>
        <v>7.4910000000000005</v>
      </c>
      <c r="P160" s="18">
        <f t="shared" si="29"/>
        <v>6.8565000000000005</v>
      </c>
    </row>
    <row r="161" spans="1:20" s="15" customFormat="1" ht="17.25" thickTop="1" x14ac:dyDescent="0.25">
      <c r="A161" s="48"/>
      <c r="B161" s="46" t="s">
        <v>138</v>
      </c>
      <c r="C161" s="46"/>
      <c r="D161" s="47" t="s">
        <v>139</v>
      </c>
      <c r="E161" s="47"/>
      <c r="F161" s="46" t="s">
        <v>140</v>
      </c>
      <c r="G161" s="46"/>
      <c r="H161" s="47" t="s">
        <v>141</v>
      </c>
      <c r="I161" s="47"/>
      <c r="J161" s="46" t="s">
        <v>142</v>
      </c>
      <c r="K161" s="46"/>
      <c r="L161" s="47" t="s">
        <v>143</v>
      </c>
      <c r="M161" s="47"/>
      <c r="N161" s="46" t="s">
        <v>144</v>
      </c>
      <c r="O161" s="46"/>
      <c r="P161" s="47" t="s">
        <v>145</v>
      </c>
      <c r="Q161" s="47"/>
      <c r="T161"/>
    </row>
    <row r="162" spans="1:20" x14ac:dyDescent="0.25">
      <c r="A162" s="36" t="s">
        <v>137</v>
      </c>
      <c r="B162" s="41" t="s">
        <v>19</v>
      </c>
      <c r="C162" s="20" t="s">
        <v>133</v>
      </c>
      <c r="D162" s="27" t="s">
        <v>19</v>
      </c>
      <c r="E162" s="28" t="s">
        <v>133</v>
      </c>
      <c r="F162" s="19" t="s">
        <v>19</v>
      </c>
      <c r="G162" s="20" t="s">
        <v>133</v>
      </c>
      <c r="H162" s="27" t="s">
        <v>19</v>
      </c>
      <c r="I162" s="28" t="s">
        <v>133</v>
      </c>
      <c r="J162" s="19" t="s">
        <v>19</v>
      </c>
      <c r="K162" s="20" t="s">
        <v>133</v>
      </c>
      <c r="L162" s="27" t="s">
        <v>19</v>
      </c>
      <c r="M162" s="28" t="s">
        <v>133</v>
      </c>
      <c r="N162" s="19" t="s">
        <v>19</v>
      </c>
      <c r="O162" s="20" t="s">
        <v>133</v>
      </c>
      <c r="P162" s="27" t="s">
        <v>19</v>
      </c>
      <c r="Q162" s="28" t="s">
        <v>133</v>
      </c>
    </row>
    <row r="163" spans="1:20" x14ac:dyDescent="0.25">
      <c r="B163" s="39" t="s">
        <v>134</v>
      </c>
      <c r="C163">
        <v>0.14330000000000001</v>
      </c>
      <c r="D163" s="29" t="s">
        <v>134</v>
      </c>
      <c r="E163" s="18">
        <v>0.12659999999999999</v>
      </c>
      <c r="F163" s="21" t="s">
        <v>134</v>
      </c>
      <c r="G163">
        <v>9.6299999999999997E-2</v>
      </c>
      <c r="H163" s="29" t="s">
        <v>134</v>
      </c>
      <c r="I163" s="18">
        <v>0.13150000000000001</v>
      </c>
      <c r="J163" s="21" t="s">
        <v>134</v>
      </c>
      <c r="K163" s="22">
        <v>0.12280000000000001</v>
      </c>
      <c r="L163" s="29" t="s">
        <v>134</v>
      </c>
      <c r="M163" s="17">
        <v>0.13600000000000001</v>
      </c>
      <c r="N163" s="21" t="s">
        <v>134</v>
      </c>
      <c r="O163" s="22">
        <v>0.13500000000000001</v>
      </c>
      <c r="P163" s="29" t="s">
        <v>134</v>
      </c>
      <c r="Q163" s="17">
        <v>8.0759999999999998E-2</v>
      </c>
    </row>
    <row r="164" spans="1:20" x14ac:dyDescent="0.25">
      <c r="A164" s="37" t="s">
        <v>1</v>
      </c>
      <c r="B164" s="40" t="s">
        <v>135</v>
      </c>
      <c r="C164" s="24">
        <v>1.081</v>
      </c>
      <c r="D164" s="30" t="s">
        <v>135</v>
      </c>
      <c r="E164" s="31">
        <v>1.071</v>
      </c>
      <c r="F164" s="23" t="s">
        <v>135</v>
      </c>
      <c r="G164" s="24">
        <v>1.9079999999999999</v>
      </c>
      <c r="H164" s="30" t="s">
        <v>135</v>
      </c>
      <c r="I164" s="25">
        <v>1.232</v>
      </c>
      <c r="J164" s="23" t="s">
        <v>135</v>
      </c>
      <c r="K164" s="24">
        <v>1.512</v>
      </c>
      <c r="L164" s="30" t="s">
        <v>135</v>
      </c>
      <c r="M164" s="25">
        <v>1.5249999999999999</v>
      </c>
      <c r="N164" s="23" t="s">
        <v>135</v>
      </c>
      <c r="O164" s="24">
        <v>1.6890000000000001</v>
      </c>
      <c r="P164" s="30" t="s">
        <v>135</v>
      </c>
      <c r="Q164" s="25">
        <v>1.6679999999999999</v>
      </c>
    </row>
    <row r="165" spans="1:20" x14ac:dyDescent="0.25">
      <c r="A165" s="42">
        <v>1</v>
      </c>
      <c r="B165">
        <f>($C$163*$A165)+$C$164</f>
        <v>1.2242999999999999</v>
      </c>
      <c r="D165" s="18">
        <f>($E$163*$A165)+$E$164</f>
        <v>1.1976</v>
      </c>
      <c r="F165">
        <f>($G$163*$A165)+$G$164</f>
        <v>2.0042999999999997</v>
      </c>
      <c r="H165" s="18">
        <f>($I$163*$A165)+$I$164</f>
        <v>1.3634999999999999</v>
      </c>
      <c r="J165">
        <f>($K$163*$A165)+$K$164</f>
        <v>1.6348</v>
      </c>
      <c r="L165" s="18">
        <f>($M$163*$A165)+$M$164</f>
        <v>1.661</v>
      </c>
      <c r="N165">
        <f>($O$163*$A165)+$O$164</f>
        <v>1.8240000000000001</v>
      </c>
      <c r="P165" s="18">
        <f t="shared" ref="P165:P196" si="31">($Q$163*$A165)+$Q$164</f>
        <v>1.7487599999999999</v>
      </c>
    </row>
    <row r="166" spans="1:20" x14ac:dyDescent="0.25">
      <c r="A166" s="42">
        <f>A165+1</f>
        <v>2</v>
      </c>
      <c r="B166">
        <f t="shared" ref="B166:B214" si="32">($C$163*$A166)+$C$164</f>
        <v>1.3675999999999999</v>
      </c>
      <c r="D166" s="18">
        <f t="shared" ref="D166:D214" si="33">($E$163*$A166)+$E$164</f>
        <v>1.3241999999999998</v>
      </c>
      <c r="F166">
        <f t="shared" ref="F166:F214" si="34">($G$163*$A166)+$G$164</f>
        <v>2.1006</v>
      </c>
      <c r="H166" s="18">
        <f t="shared" ref="H166:H214" si="35">($I$163*$A166)+$I$164</f>
        <v>1.4950000000000001</v>
      </c>
      <c r="J166">
        <f t="shared" ref="J166:J214" si="36">($K$163*$A166)+$K$164</f>
        <v>1.7576000000000001</v>
      </c>
      <c r="L166" s="18">
        <f t="shared" ref="L166:L214" si="37">($M$163*$A166)+$M$164</f>
        <v>1.7969999999999999</v>
      </c>
      <c r="N166">
        <f t="shared" ref="N166:N214" si="38">($O$163*$A166)+$O$164</f>
        <v>1.9590000000000001</v>
      </c>
      <c r="P166" s="18">
        <f t="shared" si="31"/>
        <v>1.82952</v>
      </c>
    </row>
    <row r="167" spans="1:20" x14ac:dyDescent="0.25">
      <c r="A167" s="42">
        <f t="shared" ref="A167:A214" si="39">A166+1</f>
        <v>3</v>
      </c>
      <c r="B167">
        <f t="shared" si="32"/>
        <v>1.5108999999999999</v>
      </c>
      <c r="D167" s="18">
        <f t="shared" si="33"/>
        <v>1.4507999999999999</v>
      </c>
      <c r="F167">
        <f t="shared" si="34"/>
        <v>2.1968999999999999</v>
      </c>
      <c r="H167" s="18">
        <f t="shared" si="35"/>
        <v>1.6265000000000001</v>
      </c>
      <c r="J167">
        <f t="shared" si="36"/>
        <v>1.8804000000000001</v>
      </c>
      <c r="L167" s="18">
        <f t="shared" si="37"/>
        <v>1.9329999999999998</v>
      </c>
      <c r="N167">
        <f t="shared" si="38"/>
        <v>2.0940000000000003</v>
      </c>
      <c r="P167" s="18">
        <f t="shared" si="31"/>
        <v>1.91028</v>
      </c>
    </row>
    <row r="168" spans="1:20" x14ac:dyDescent="0.25">
      <c r="A168" s="42">
        <f t="shared" si="39"/>
        <v>4</v>
      </c>
      <c r="B168">
        <f t="shared" si="32"/>
        <v>1.6541999999999999</v>
      </c>
      <c r="D168" s="18">
        <f t="shared" si="33"/>
        <v>1.5773999999999999</v>
      </c>
      <c r="F168">
        <f t="shared" si="34"/>
        <v>2.2931999999999997</v>
      </c>
      <c r="H168" s="18">
        <f t="shared" si="35"/>
        <v>1.758</v>
      </c>
      <c r="J168">
        <f t="shared" si="36"/>
        <v>2.0032000000000001</v>
      </c>
      <c r="L168" s="18">
        <f t="shared" si="37"/>
        <v>2.069</v>
      </c>
      <c r="N168">
        <f t="shared" si="38"/>
        <v>2.2290000000000001</v>
      </c>
      <c r="P168" s="18">
        <f t="shared" si="31"/>
        <v>1.9910399999999999</v>
      </c>
    </row>
    <row r="169" spans="1:20" x14ac:dyDescent="0.25">
      <c r="A169" s="42">
        <f t="shared" si="39"/>
        <v>5</v>
      </c>
      <c r="B169">
        <f t="shared" si="32"/>
        <v>1.7974999999999999</v>
      </c>
      <c r="D169" s="18">
        <f t="shared" si="33"/>
        <v>1.704</v>
      </c>
      <c r="F169">
        <f t="shared" si="34"/>
        <v>2.3895</v>
      </c>
      <c r="H169" s="18">
        <f t="shared" si="35"/>
        <v>1.8895</v>
      </c>
      <c r="J169">
        <f t="shared" si="36"/>
        <v>2.1259999999999999</v>
      </c>
      <c r="L169" s="18">
        <f t="shared" si="37"/>
        <v>2.2050000000000001</v>
      </c>
      <c r="N169">
        <f t="shared" si="38"/>
        <v>2.3639999999999999</v>
      </c>
      <c r="P169" s="18">
        <f t="shared" si="31"/>
        <v>2.0718000000000001</v>
      </c>
    </row>
    <row r="170" spans="1:20" x14ac:dyDescent="0.25">
      <c r="A170" s="42">
        <f t="shared" si="39"/>
        <v>6</v>
      </c>
      <c r="B170">
        <f t="shared" si="32"/>
        <v>1.9408000000000001</v>
      </c>
      <c r="D170" s="18">
        <f t="shared" si="33"/>
        <v>1.8306</v>
      </c>
      <c r="F170">
        <f t="shared" si="34"/>
        <v>2.4857999999999998</v>
      </c>
      <c r="H170" s="18">
        <f t="shared" si="35"/>
        <v>2.0209999999999999</v>
      </c>
      <c r="J170">
        <f t="shared" si="36"/>
        <v>2.2488000000000001</v>
      </c>
      <c r="L170" s="18">
        <f t="shared" si="37"/>
        <v>2.3410000000000002</v>
      </c>
      <c r="N170">
        <f t="shared" si="38"/>
        <v>2.4990000000000001</v>
      </c>
      <c r="P170" s="18">
        <f t="shared" si="31"/>
        <v>2.1525599999999998</v>
      </c>
    </row>
    <row r="171" spans="1:20" x14ac:dyDescent="0.25">
      <c r="A171" s="42">
        <f t="shared" si="39"/>
        <v>7</v>
      </c>
      <c r="B171">
        <f t="shared" si="32"/>
        <v>2.0841000000000003</v>
      </c>
      <c r="D171" s="18">
        <f t="shared" si="33"/>
        <v>1.9571999999999998</v>
      </c>
      <c r="F171">
        <f t="shared" si="34"/>
        <v>2.5820999999999996</v>
      </c>
      <c r="H171" s="18">
        <f t="shared" si="35"/>
        <v>2.1524999999999999</v>
      </c>
      <c r="J171">
        <f t="shared" si="36"/>
        <v>2.3715999999999999</v>
      </c>
      <c r="L171" s="18">
        <f t="shared" si="37"/>
        <v>2.4769999999999999</v>
      </c>
      <c r="N171">
        <f t="shared" si="38"/>
        <v>2.6340000000000003</v>
      </c>
      <c r="P171" s="18">
        <f t="shared" si="31"/>
        <v>2.23332</v>
      </c>
    </row>
    <row r="172" spans="1:20" x14ac:dyDescent="0.25">
      <c r="A172" s="42">
        <f t="shared" si="39"/>
        <v>8</v>
      </c>
      <c r="B172">
        <f t="shared" si="32"/>
        <v>2.2274000000000003</v>
      </c>
      <c r="D172" s="18">
        <f t="shared" si="33"/>
        <v>2.0838000000000001</v>
      </c>
      <c r="F172">
        <f t="shared" si="34"/>
        <v>2.6783999999999999</v>
      </c>
      <c r="H172" s="18">
        <f t="shared" si="35"/>
        <v>2.2839999999999998</v>
      </c>
      <c r="J172">
        <f t="shared" si="36"/>
        <v>2.4944000000000002</v>
      </c>
      <c r="L172" s="18">
        <f t="shared" si="37"/>
        <v>2.613</v>
      </c>
      <c r="N172">
        <f t="shared" si="38"/>
        <v>2.7690000000000001</v>
      </c>
      <c r="P172" s="18">
        <f t="shared" si="31"/>
        <v>2.3140799999999997</v>
      </c>
    </row>
    <row r="173" spans="1:20" x14ac:dyDescent="0.25">
      <c r="A173" s="42">
        <f t="shared" si="39"/>
        <v>9</v>
      </c>
      <c r="B173">
        <f t="shared" si="32"/>
        <v>2.3707000000000003</v>
      </c>
      <c r="D173" s="18">
        <f t="shared" si="33"/>
        <v>2.2103999999999999</v>
      </c>
      <c r="F173">
        <f t="shared" si="34"/>
        <v>2.7747000000000002</v>
      </c>
      <c r="H173" s="18">
        <f t="shared" si="35"/>
        <v>2.4154999999999998</v>
      </c>
      <c r="J173">
        <f t="shared" si="36"/>
        <v>2.6172</v>
      </c>
      <c r="L173" s="18">
        <f t="shared" si="37"/>
        <v>2.7490000000000001</v>
      </c>
      <c r="N173">
        <f t="shared" si="38"/>
        <v>2.9039999999999999</v>
      </c>
      <c r="P173" s="18">
        <f t="shared" si="31"/>
        <v>2.3948399999999999</v>
      </c>
    </row>
    <row r="174" spans="1:20" x14ac:dyDescent="0.25">
      <c r="A174" s="42">
        <f t="shared" si="39"/>
        <v>10</v>
      </c>
      <c r="B174">
        <f t="shared" si="32"/>
        <v>2.5140000000000002</v>
      </c>
      <c r="D174" s="18">
        <f t="shared" si="33"/>
        <v>2.3369999999999997</v>
      </c>
      <c r="F174">
        <f t="shared" si="34"/>
        <v>2.871</v>
      </c>
      <c r="H174" s="18">
        <f t="shared" si="35"/>
        <v>2.5469999999999997</v>
      </c>
      <c r="J174">
        <f t="shared" si="36"/>
        <v>2.74</v>
      </c>
      <c r="L174" s="18">
        <f t="shared" si="37"/>
        <v>2.8849999999999998</v>
      </c>
      <c r="N174">
        <f t="shared" si="38"/>
        <v>3.0390000000000001</v>
      </c>
      <c r="P174" s="18">
        <f t="shared" si="31"/>
        <v>2.4756</v>
      </c>
    </row>
    <row r="175" spans="1:20" x14ac:dyDescent="0.25">
      <c r="A175" s="42">
        <f t="shared" si="39"/>
        <v>11</v>
      </c>
      <c r="B175">
        <f t="shared" si="32"/>
        <v>2.6573000000000002</v>
      </c>
      <c r="D175" s="18">
        <f t="shared" si="33"/>
        <v>2.4635999999999996</v>
      </c>
      <c r="F175">
        <f t="shared" si="34"/>
        <v>2.9672999999999998</v>
      </c>
      <c r="H175" s="18">
        <f t="shared" si="35"/>
        <v>2.6785000000000001</v>
      </c>
      <c r="J175">
        <f t="shared" si="36"/>
        <v>2.8628</v>
      </c>
      <c r="L175" s="18">
        <f t="shared" si="37"/>
        <v>3.0209999999999999</v>
      </c>
      <c r="N175">
        <f t="shared" si="38"/>
        <v>3.1740000000000004</v>
      </c>
      <c r="P175" s="18">
        <f t="shared" si="31"/>
        <v>2.5563599999999997</v>
      </c>
    </row>
    <row r="176" spans="1:20" x14ac:dyDescent="0.25">
      <c r="A176" s="42">
        <f t="shared" si="39"/>
        <v>12</v>
      </c>
      <c r="B176">
        <f t="shared" si="32"/>
        <v>2.8006000000000002</v>
      </c>
      <c r="D176" s="18">
        <f t="shared" si="33"/>
        <v>2.5901999999999998</v>
      </c>
      <c r="F176">
        <f t="shared" si="34"/>
        <v>3.0636000000000001</v>
      </c>
      <c r="H176" s="18">
        <f t="shared" si="35"/>
        <v>2.81</v>
      </c>
      <c r="J176">
        <f t="shared" si="36"/>
        <v>2.9855999999999998</v>
      </c>
      <c r="L176" s="18">
        <f t="shared" si="37"/>
        <v>3.157</v>
      </c>
      <c r="N176">
        <f t="shared" si="38"/>
        <v>3.3090000000000002</v>
      </c>
      <c r="P176" s="18">
        <f t="shared" si="31"/>
        <v>2.6371199999999999</v>
      </c>
    </row>
    <row r="177" spans="1:16" x14ac:dyDescent="0.25">
      <c r="A177" s="42">
        <f t="shared" si="39"/>
        <v>13</v>
      </c>
      <c r="B177">
        <f t="shared" si="32"/>
        <v>2.9439000000000002</v>
      </c>
      <c r="D177" s="18">
        <f t="shared" si="33"/>
        <v>2.7168000000000001</v>
      </c>
      <c r="F177">
        <f t="shared" si="34"/>
        <v>3.1598999999999999</v>
      </c>
      <c r="H177" s="18">
        <f t="shared" si="35"/>
        <v>2.9415</v>
      </c>
      <c r="J177">
        <f t="shared" si="36"/>
        <v>3.1084000000000001</v>
      </c>
      <c r="L177" s="18">
        <f t="shared" si="37"/>
        <v>3.2930000000000001</v>
      </c>
      <c r="N177">
        <f t="shared" si="38"/>
        <v>3.444</v>
      </c>
      <c r="P177" s="18">
        <f t="shared" si="31"/>
        <v>2.7178800000000001</v>
      </c>
    </row>
    <row r="178" spans="1:16" x14ac:dyDescent="0.25">
      <c r="A178" s="42">
        <f t="shared" si="39"/>
        <v>14</v>
      </c>
      <c r="B178">
        <f t="shared" si="32"/>
        <v>3.0872000000000002</v>
      </c>
      <c r="D178" s="18">
        <f t="shared" si="33"/>
        <v>2.8433999999999999</v>
      </c>
      <c r="F178">
        <f t="shared" si="34"/>
        <v>3.2561999999999998</v>
      </c>
      <c r="H178" s="18">
        <f t="shared" si="35"/>
        <v>3.0730000000000004</v>
      </c>
      <c r="J178">
        <f t="shared" si="36"/>
        <v>3.2312000000000003</v>
      </c>
      <c r="L178" s="18">
        <f t="shared" si="37"/>
        <v>3.4290000000000003</v>
      </c>
      <c r="N178">
        <f t="shared" si="38"/>
        <v>3.5790000000000002</v>
      </c>
      <c r="P178" s="18">
        <f t="shared" si="31"/>
        <v>2.7986399999999998</v>
      </c>
    </row>
    <row r="179" spans="1:16" x14ac:dyDescent="0.25">
      <c r="A179" s="42">
        <f t="shared" si="39"/>
        <v>15</v>
      </c>
      <c r="B179">
        <f t="shared" si="32"/>
        <v>3.2305000000000001</v>
      </c>
      <c r="D179" s="18">
        <f t="shared" si="33"/>
        <v>2.9699999999999998</v>
      </c>
      <c r="F179">
        <f t="shared" si="34"/>
        <v>3.3525</v>
      </c>
      <c r="H179" s="18">
        <f t="shared" si="35"/>
        <v>3.2045000000000003</v>
      </c>
      <c r="J179">
        <f t="shared" si="36"/>
        <v>3.3540000000000001</v>
      </c>
      <c r="L179" s="18">
        <f t="shared" si="37"/>
        <v>3.5649999999999999</v>
      </c>
      <c r="N179">
        <f t="shared" si="38"/>
        <v>3.7140000000000004</v>
      </c>
      <c r="P179" s="18">
        <f t="shared" si="31"/>
        <v>2.8794</v>
      </c>
    </row>
    <row r="180" spans="1:16" x14ac:dyDescent="0.25">
      <c r="A180" s="42">
        <f t="shared" si="39"/>
        <v>16</v>
      </c>
      <c r="B180">
        <f t="shared" si="32"/>
        <v>3.3738000000000001</v>
      </c>
      <c r="D180" s="18">
        <f t="shared" si="33"/>
        <v>3.0965999999999996</v>
      </c>
      <c r="F180">
        <f t="shared" si="34"/>
        <v>3.4487999999999999</v>
      </c>
      <c r="H180" s="18">
        <f t="shared" si="35"/>
        <v>3.3360000000000003</v>
      </c>
      <c r="J180">
        <f t="shared" si="36"/>
        <v>3.4767999999999999</v>
      </c>
      <c r="L180" s="18">
        <f t="shared" si="37"/>
        <v>3.7010000000000001</v>
      </c>
      <c r="N180">
        <f t="shared" si="38"/>
        <v>3.8490000000000002</v>
      </c>
      <c r="P180" s="18">
        <f t="shared" si="31"/>
        <v>2.9601600000000001</v>
      </c>
    </row>
    <row r="181" spans="1:16" x14ac:dyDescent="0.25">
      <c r="A181" s="42">
        <f t="shared" si="39"/>
        <v>17</v>
      </c>
      <c r="B181">
        <f t="shared" si="32"/>
        <v>3.5171000000000001</v>
      </c>
      <c r="D181" s="18">
        <f t="shared" si="33"/>
        <v>3.2231999999999994</v>
      </c>
      <c r="F181">
        <f t="shared" si="34"/>
        <v>3.5450999999999997</v>
      </c>
      <c r="H181" s="18">
        <f t="shared" si="35"/>
        <v>3.4675000000000002</v>
      </c>
      <c r="J181">
        <f t="shared" si="36"/>
        <v>3.5996000000000001</v>
      </c>
      <c r="L181" s="18">
        <f t="shared" si="37"/>
        <v>3.8370000000000002</v>
      </c>
      <c r="N181">
        <f t="shared" si="38"/>
        <v>3.984</v>
      </c>
      <c r="P181" s="18">
        <f t="shared" si="31"/>
        <v>3.0409199999999998</v>
      </c>
    </row>
    <row r="182" spans="1:16" x14ac:dyDescent="0.25">
      <c r="A182" s="42">
        <f t="shared" si="39"/>
        <v>18</v>
      </c>
      <c r="B182">
        <f t="shared" si="32"/>
        <v>3.6604000000000001</v>
      </c>
      <c r="D182" s="18">
        <f t="shared" si="33"/>
        <v>3.3498000000000001</v>
      </c>
      <c r="F182">
        <f t="shared" si="34"/>
        <v>3.6414</v>
      </c>
      <c r="H182" s="18">
        <f t="shared" si="35"/>
        <v>3.5990000000000002</v>
      </c>
      <c r="J182">
        <f t="shared" si="36"/>
        <v>3.7223999999999999</v>
      </c>
      <c r="L182" s="18">
        <f t="shared" si="37"/>
        <v>3.9730000000000003</v>
      </c>
      <c r="N182">
        <f t="shared" si="38"/>
        <v>4.1189999999999998</v>
      </c>
      <c r="P182" s="18">
        <f t="shared" si="31"/>
        <v>3.1216799999999996</v>
      </c>
    </row>
    <row r="183" spans="1:16" x14ac:dyDescent="0.25">
      <c r="A183" s="42">
        <f t="shared" si="39"/>
        <v>19</v>
      </c>
      <c r="B183">
        <f t="shared" si="32"/>
        <v>3.8037000000000001</v>
      </c>
      <c r="D183" s="18">
        <f t="shared" si="33"/>
        <v>3.4763999999999999</v>
      </c>
      <c r="F183">
        <f t="shared" si="34"/>
        <v>3.7376999999999998</v>
      </c>
      <c r="H183" s="18">
        <f t="shared" si="35"/>
        <v>3.7305000000000001</v>
      </c>
      <c r="J183">
        <f t="shared" si="36"/>
        <v>3.8452000000000002</v>
      </c>
      <c r="L183" s="18">
        <f t="shared" si="37"/>
        <v>4.109</v>
      </c>
      <c r="N183">
        <f t="shared" si="38"/>
        <v>4.2540000000000004</v>
      </c>
      <c r="P183" s="18">
        <f t="shared" si="31"/>
        <v>3.2024400000000002</v>
      </c>
    </row>
    <row r="184" spans="1:16" x14ac:dyDescent="0.25">
      <c r="A184" s="42">
        <f t="shared" si="39"/>
        <v>20</v>
      </c>
      <c r="B184">
        <f t="shared" si="32"/>
        <v>3.9470000000000001</v>
      </c>
      <c r="D184" s="18">
        <f t="shared" si="33"/>
        <v>3.6029999999999998</v>
      </c>
      <c r="F184">
        <f t="shared" si="34"/>
        <v>3.8339999999999996</v>
      </c>
      <c r="H184" s="18">
        <f t="shared" si="35"/>
        <v>3.8620000000000001</v>
      </c>
      <c r="J184">
        <f t="shared" si="36"/>
        <v>3.968</v>
      </c>
      <c r="L184" s="18">
        <f t="shared" si="37"/>
        <v>4.2450000000000001</v>
      </c>
      <c r="N184">
        <f t="shared" si="38"/>
        <v>4.3890000000000002</v>
      </c>
      <c r="P184" s="18">
        <f t="shared" si="31"/>
        <v>3.2831999999999999</v>
      </c>
    </row>
    <row r="185" spans="1:16" x14ac:dyDescent="0.25">
      <c r="A185" s="42">
        <f t="shared" si="39"/>
        <v>21</v>
      </c>
      <c r="B185">
        <f t="shared" si="32"/>
        <v>4.0903</v>
      </c>
      <c r="D185" s="18">
        <f t="shared" si="33"/>
        <v>3.7295999999999996</v>
      </c>
      <c r="F185">
        <f t="shared" si="34"/>
        <v>3.9302999999999999</v>
      </c>
      <c r="H185" s="18">
        <f t="shared" si="35"/>
        <v>3.9935</v>
      </c>
      <c r="J185">
        <f t="shared" si="36"/>
        <v>4.0907999999999998</v>
      </c>
      <c r="L185" s="18">
        <f t="shared" si="37"/>
        <v>4.3810000000000002</v>
      </c>
      <c r="N185">
        <f t="shared" si="38"/>
        <v>4.524</v>
      </c>
      <c r="P185" s="18">
        <f t="shared" si="31"/>
        <v>3.3639599999999996</v>
      </c>
    </row>
    <row r="186" spans="1:16" x14ac:dyDescent="0.25">
      <c r="A186" s="42">
        <f t="shared" si="39"/>
        <v>22</v>
      </c>
      <c r="B186">
        <f t="shared" si="32"/>
        <v>4.2336</v>
      </c>
      <c r="D186" s="18">
        <f t="shared" si="33"/>
        <v>3.8561999999999994</v>
      </c>
      <c r="F186">
        <f t="shared" si="34"/>
        <v>4.0266000000000002</v>
      </c>
      <c r="H186" s="18">
        <f t="shared" si="35"/>
        <v>4.125</v>
      </c>
      <c r="J186">
        <f t="shared" si="36"/>
        <v>4.2135999999999996</v>
      </c>
      <c r="L186" s="18">
        <f t="shared" si="37"/>
        <v>4.5169999999999995</v>
      </c>
      <c r="N186">
        <f t="shared" si="38"/>
        <v>4.6590000000000007</v>
      </c>
      <c r="P186" s="18">
        <f t="shared" si="31"/>
        <v>3.4447200000000002</v>
      </c>
    </row>
    <row r="187" spans="1:16" x14ac:dyDescent="0.25">
      <c r="A187" s="42">
        <f t="shared" si="39"/>
        <v>23</v>
      </c>
      <c r="B187">
        <f t="shared" si="32"/>
        <v>4.3769</v>
      </c>
      <c r="D187" s="18">
        <f t="shared" si="33"/>
        <v>3.9828000000000001</v>
      </c>
      <c r="F187">
        <f t="shared" si="34"/>
        <v>4.1228999999999996</v>
      </c>
      <c r="H187" s="18">
        <f t="shared" si="35"/>
        <v>4.2565</v>
      </c>
      <c r="J187">
        <f t="shared" si="36"/>
        <v>4.3364000000000003</v>
      </c>
      <c r="L187" s="18">
        <f t="shared" si="37"/>
        <v>4.6530000000000005</v>
      </c>
      <c r="N187">
        <f t="shared" si="38"/>
        <v>4.7940000000000005</v>
      </c>
      <c r="P187" s="18">
        <f t="shared" si="31"/>
        <v>3.5254799999999999</v>
      </c>
    </row>
    <row r="188" spans="1:16" x14ac:dyDescent="0.25">
      <c r="A188" s="42">
        <f t="shared" si="39"/>
        <v>24</v>
      </c>
      <c r="B188">
        <f t="shared" si="32"/>
        <v>4.5202000000000009</v>
      </c>
      <c r="D188" s="18">
        <f t="shared" si="33"/>
        <v>4.1093999999999999</v>
      </c>
      <c r="F188">
        <f t="shared" si="34"/>
        <v>4.2191999999999998</v>
      </c>
      <c r="H188" s="18">
        <f t="shared" si="35"/>
        <v>4.3879999999999999</v>
      </c>
      <c r="J188">
        <f t="shared" si="36"/>
        <v>4.4592000000000001</v>
      </c>
      <c r="L188" s="18">
        <f t="shared" si="37"/>
        <v>4.7889999999999997</v>
      </c>
      <c r="N188">
        <f t="shared" si="38"/>
        <v>4.9290000000000003</v>
      </c>
      <c r="P188" s="18">
        <f t="shared" si="31"/>
        <v>3.6062399999999997</v>
      </c>
    </row>
    <row r="189" spans="1:16" x14ac:dyDescent="0.25">
      <c r="A189" s="42">
        <f t="shared" si="39"/>
        <v>25</v>
      </c>
      <c r="B189">
        <f t="shared" si="32"/>
        <v>4.6635000000000009</v>
      </c>
      <c r="D189" s="18">
        <f t="shared" si="33"/>
        <v>4.2359999999999998</v>
      </c>
      <c r="F189">
        <f t="shared" si="34"/>
        <v>4.3155000000000001</v>
      </c>
      <c r="H189" s="18">
        <f t="shared" si="35"/>
        <v>4.5194999999999999</v>
      </c>
      <c r="J189">
        <f t="shared" si="36"/>
        <v>4.5820000000000007</v>
      </c>
      <c r="L189" s="18">
        <f t="shared" si="37"/>
        <v>4.9250000000000007</v>
      </c>
      <c r="N189">
        <f t="shared" si="38"/>
        <v>5.0640000000000001</v>
      </c>
      <c r="P189" s="18">
        <f t="shared" si="31"/>
        <v>3.6870000000000003</v>
      </c>
    </row>
    <row r="190" spans="1:16" x14ac:dyDescent="0.25">
      <c r="A190" s="42">
        <f t="shared" si="39"/>
        <v>26</v>
      </c>
      <c r="B190">
        <f t="shared" si="32"/>
        <v>4.8068000000000008</v>
      </c>
      <c r="D190" s="18">
        <f t="shared" si="33"/>
        <v>4.3625999999999996</v>
      </c>
      <c r="F190">
        <f t="shared" si="34"/>
        <v>4.4117999999999995</v>
      </c>
      <c r="H190" s="18">
        <f t="shared" si="35"/>
        <v>4.6509999999999998</v>
      </c>
      <c r="J190">
        <f t="shared" si="36"/>
        <v>4.7048000000000005</v>
      </c>
      <c r="L190" s="18">
        <f t="shared" si="37"/>
        <v>5.0609999999999999</v>
      </c>
      <c r="N190">
        <f t="shared" si="38"/>
        <v>5.1989999999999998</v>
      </c>
      <c r="P190" s="18">
        <f t="shared" si="31"/>
        <v>3.76776</v>
      </c>
    </row>
    <row r="191" spans="1:16" x14ac:dyDescent="0.25">
      <c r="A191" s="42">
        <f t="shared" si="39"/>
        <v>27</v>
      </c>
      <c r="B191">
        <f t="shared" si="32"/>
        <v>4.9501000000000008</v>
      </c>
      <c r="D191" s="3">
        <f t="shared" si="33"/>
        <v>4.4891999999999994</v>
      </c>
      <c r="F191" s="3">
        <f t="shared" si="34"/>
        <v>4.5080999999999998</v>
      </c>
      <c r="H191" s="18">
        <f t="shared" si="35"/>
        <v>4.7824999999999998</v>
      </c>
      <c r="J191">
        <f t="shared" si="36"/>
        <v>4.8276000000000003</v>
      </c>
      <c r="L191" s="18">
        <f t="shared" si="37"/>
        <v>5.1970000000000001</v>
      </c>
      <c r="N191">
        <f t="shared" si="38"/>
        <v>5.3340000000000005</v>
      </c>
      <c r="P191" s="18">
        <f t="shared" si="31"/>
        <v>3.8485199999999997</v>
      </c>
    </row>
    <row r="192" spans="1:16" x14ac:dyDescent="0.25">
      <c r="A192" s="42">
        <f t="shared" si="39"/>
        <v>28</v>
      </c>
      <c r="B192">
        <f t="shared" si="32"/>
        <v>5.0934000000000008</v>
      </c>
      <c r="D192" s="18">
        <f t="shared" si="33"/>
        <v>4.6157999999999992</v>
      </c>
      <c r="F192">
        <f t="shared" si="34"/>
        <v>4.6044</v>
      </c>
      <c r="H192" s="18">
        <f t="shared" si="35"/>
        <v>4.9140000000000006</v>
      </c>
      <c r="J192">
        <f t="shared" si="36"/>
        <v>4.9504000000000001</v>
      </c>
      <c r="L192" s="18">
        <f t="shared" si="37"/>
        <v>5.3330000000000002</v>
      </c>
      <c r="N192">
        <f t="shared" si="38"/>
        <v>5.4690000000000003</v>
      </c>
      <c r="P192" s="18">
        <f t="shared" si="31"/>
        <v>3.9292800000000003</v>
      </c>
    </row>
    <row r="193" spans="1:16" x14ac:dyDescent="0.25">
      <c r="A193" s="42">
        <f t="shared" si="39"/>
        <v>29</v>
      </c>
      <c r="B193">
        <f t="shared" si="32"/>
        <v>5.2367000000000008</v>
      </c>
      <c r="D193" s="18">
        <f t="shared" si="33"/>
        <v>4.7423999999999999</v>
      </c>
      <c r="F193">
        <f t="shared" si="34"/>
        <v>4.7006999999999994</v>
      </c>
      <c r="H193" s="18">
        <f t="shared" si="35"/>
        <v>5.0455000000000005</v>
      </c>
      <c r="J193">
        <f t="shared" si="36"/>
        <v>5.0731999999999999</v>
      </c>
      <c r="L193" s="18">
        <f t="shared" si="37"/>
        <v>5.4690000000000003</v>
      </c>
      <c r="N193">
        <f t="shared" si="38"/>
        <v>5.6040000000000001</v>
      </c>
      <c r="P193" s="18">
        <f t="shared" si="31"/>
        <v>4.01004</v>
      </c>
    </row>
    <row r="194" spans="1:16" x14ac:dyDescent="0.25">
      <c r="A194" s="42">
        <f t="shared" si="39"/>
        <v>30</v>
      </c>
      <c r="B194">
        <f t="shared" si="32"/>
        <v>5.3800000000000008</v>
      </c>
      <c r="D194" s="18">
        <f t="shared" si="33"/>
        <v>4.8689999999999998</v>
      </c>
      <c r="F194">
        <f t="shared" si="34"/>
        <v>4.7969999999999997</v>
      </c>
      <c r="H194" s="18">
        <f t="shared" si="35"/>
        <v>5.1770000000000005</v>
      </c>
      <c r="J194">
        <f t="shared" si="36"/>
        <v>5.1959999999999997</v>
      </c>
      <c r="L194" s="18">
        <f t="shared" si="37"/>
        <v>5.6050000000000004</v>
      </c>
      <c r="N194">
        <f t="shared" si="38"/>
        <v>5.7390000000000008</v>
      </c>
      <c r="P194" s="18">
        <f t="shared" si="31"/>
        <v>4.0907999999999998</v>
      </c>
    </row>
    <row r="195" spans="1:16" x14ac:dyDescent="0.25">
      <c r="A195" s="42">
        <f t="shared" si="39"/>
        <v>31</v>
      </c>
      <c r="B195">
        <f t="shared" si="32"/>
        <v>5.5233000000000008</v>
      </c>
      <c r="D195" s="18">
        <f t="shared" si="33"/>
        <v>4.9955999999999996</v>
      </c>
      <c r="F195">
        <f t="shared" si="34"/>
        <v>4.8933</v>
      </c>
      <c r="H195" s="18">
        <f t="shared" si="35"/>
        <v>5.3085000000000004</v>
      </c>
      <c r="J195">
        <f t="shared" si="36"/>
        <v>5.3188000000000004</v>
      </c>
      <c r="L195" s="18">
        <f t="shared" si="37"/>
        <v>5.7409999999999997</v>
      </c>
      <c r="N195">
        <f t="shared" si="38"/>
        <v>5.8740000000000006</v>
      </c>
      <c r="P195" s="18">
        <f t="shared" si="31"/>
        <v>4.1715599999999995</v>
      </c>
    </row>
    <row r="196" spans="1:16" x14ac:dyDescent="0.25">
      <c r="A196" s="42">
        <f t="shared" si="39"/>
        <v>32</v>
      </c>
      <c r="B196">
        <f t="shared" si="32"/>
        <v>5.6666000000000007</v>
      </c>
      <c r="D196" s="18">
        <f t="shared" si="33"/>
        <v>5.1221999999999994</v>
      </c>
      <c r="F196">
        <f t="shared" si="34"/>
        <v>4.9895999999999994</v>
      </c>
      <c r="H196" s="18">
        <f t="shared" si="35"/>
        <v>5.44</v>
      </c>
      <c r="J196">
        <f t="shared" si="36"/>
        <v>5.4416000000000002</v>
      </c>
      <c r="L196" s="18">
        <f t="shared" si="37"/>
        <v>5.8770000000000007</v>
      </c>
      <c r="N196">
        <f t="shared" si="38"/>
        <v>6.0090000000000003</v>
      </c>
      <c r="P196" s="18">
        <f t="shared" si="31"/>
        <v>4.2523200000000001</v>
      </c>
    </row>
    <row r="197" spans="1:16" x14ac:dyDescent="0.25">
      <c r="A197" s="42">
        <f t="shared" si="39"/>
        <v>33</v>
      </c>
      <c r="B197">
        <f t="shared" si="32"/>
        <v>5.8099000000000007</v>
      </c>
      <c r="D197" s="18">
        <f t="shared" si="33"/>
        <v>5.2487999999999992</v>
      </c>
      <c r="F197">
        <f t="shared" si="34"/>
        <v>5.0858999999999996</v>
      </c>
      <c r="H197" s="18">
        <f t="shared" si="35"/>
        <v>5.5715000000000003</v>
      </c>
      <c r="J197">
        <f t="shared" si="36"/>
        <v>5.5644000000000009</v>
      </c>
      <c r="L197" s="18">
        <f t="shared" si="37"/>
        <v>6.0129999999999999</v>
      </c>
      <c r="N197">
        <f t="shared" si="38"/>
        <v>6.1440000000000001</v>
      </c>
      <c r="P197" s="18">
        <f t="shared" ref="P197:P214" si="40">($Q$163*$A197)+$Q$164</f>
        <v>4.3330799999999998</v>
      </c>
    </row>
    <row r="198" spans="1:16" x14ac:dyDescent="0.25">
      <c r="A198" s="42">
        <f t="shared" si="39"/>
        <v>34</v>
      </c>
      <c r="B198">
        <f t="shared" si="32"/>
        <v>5.9532000000000007</v>
      </c>
      <c r="D198" s="18">
        <f t="shared" si="33"/>
        <v>5.3753999999999991</v>
      </c>
      <c r="F198">
        <f t="shared" si="34"/>
        <v>5.1821999999999999</v>
      </c>
      <c r="H198" s="18">
        <f t="shared" si="35"/>
        <v>5.7030000000000003</v>
      </c>
      <c r="J198">
        <f t="shared" si="36"/>
        <v>5.6872000000000007</v>
      </c>
      <c r="L198" s="18">
        <f t="shared" si="37"/>
        <v>6.1490000000000009</v>
      </c>
      <c r="N198">
        <f t="shared" si="38"/>
        <v>6.2789999999999999</v>
      </c>
      <c r="P198" s="18">
        <f t="shared" si="40"/>
        <v>4.4138399999999995</v>
      </c>
    </row>
    <row r="199" spans="1:16" x14ac:dyDescent="0.25">
      <c r="A199" s="42">
        <f t="shared" si="39"/>
        <v>35</v>
      </c>
      <c r="B199">
        <f t="shared" si="32"/>
        <v>6.0965000000000007</v>
      </c>
      <c r="D199" s="18">
        <f t="shared" si="33"/>
        <v>5.5019999999999998</v>
      </c>
      <c r="F199">
        <f t="shared" si="34"/>
        <v>5.2784999999999993</v>
      </c>
      <c r="H199" s="18">
        <f t="shared" si="35"/>
        <v>5.8345000000000002</v>
      </c>
      <c r="J199">
        <f t="shared" si="36"/>
        <v>5.8100000000000005</v>
      </c>
      <c r="L199" s="18">
        <f t="shared" si="37"/>
        <v>6.2850000000000001</v>
      </c>
      <c r="N199">
        <f t="shared" si="38"/>
        <v>6.4140000000000006</v>
      </c>
      <c r="P199" s="18">
        <f t="shared" si="40"/>
        <v>4.4946000000000002</v>
      </c>
    </row>
    <row r="200" spans="1:16" x14ac:dyDescent="0.25">
      <c r="A200" s="42">
        <f t="shared" si="39"/>
        <v>36</v>
      </c>
      <c r="B200">
        <f t="shared" si="32"/>
        <v>6.2398000000000007</v>
      </c>
      <c r="D200" s="18">
        <f t="shared" si="33"/>
        <v>5.6285999999999996</v>
      </c>
      <c r="F200">
        <f t="shared" si="34"/>
        <v>5.3748000000000005</v>
      </c>
      <c r="H200" s="18">
        <f t="shared" si="35"/>
        <v>5.9660000000000002</v>
      </c>
      <c r="J200">
        <f t="shared" si="36"/>
        <v>5.9328000000000003</v>
      </c>
      <c r="L200" s="18">
        <f t="shared" si="37"/>
        <v>6.4210000000000012</v>
      </c>
      <c r="N200">
        <f t="shared" si="38"/>
        <v>6.5490000000000004</v>
      </c>
      <c r="P200" s="18">
        <f t="shared" si="40"/>
        <v>4.5753599999999999</v>
      </c>
    </row>
    <row r="201" spans="1:16" x14ac:dyDescent="0.25">
      <c r="A201" s="42">
        <f t="shared" si="39"/>
        <v>37</v>
      </c>
      <c r="B201">
        <f t="shared" si="32"/>
        <v>6.3831000000000007</v>
      </c>
      <c r="D201" s="18">
        <f t="shared" si="33"/>
        <v>5.7551999999999994</v>
      </c>
      <c r="F201">
        <f t="shared" si="34"/>
        <v>5.4710999999999999</v>
      </c>
      <c r="H201" s="18">
        <f t="shared" si="35"/>
        <v>6.0975000000000001</v>
      </c>
      <c r="J201">
        <f t="shared" si="36"/>
        <v>6.0556000000000001</v>
      </c>
      <c r="L201" s="18">
        <f t="shared" si="37"/>
        <v>6.5570000000000004</v>
      </c>
      <c r="N201">
        <f t="shared" si="38"/>
        <v>6.6840000000000002</v>
      </c>
      <c r="P201" s="18">
        <f t="shared" si="40"/>
        <v>4.6561199999999996</v>
      </c>
    </row>
    <row r="202" spans="1:16" x14ac:dyDescent="0.25">
      <c r="A202" s="42">
        <f t="shared" si="39"/>
        <v>38</v>
      </c>
      <c r="B202">
        <f t="shared" si="32"/>
        <v>6.5264000000000006</v>
      </c>
      <c r="D202" s="18">
        <f t="shared" si="33"/>
        <v>5.8817999999999993</v>
      </c>
      <c r="F202">
        <f t="shared" si="34"/>
        <v>5.5673999999999992</v>
      </c>
      <c r="H202" s="18">
        <f t="shared" si="35"/>
        <v>6.2290000000000001</v>
      </c>
      <c r="J202">
        <f t="shared" si="36"/>
        <v>6.1783999999999999</v>
      </c>
      <c r="L202" s="18">
        <f t="shared" si="37"/>
        <v>6.6929999999999996</v>
      </c>
      <c r="N202">
        <f t="shared" si="38"/>
        <v>6.8190000000000008</v>
      </c>
      <c r="P202" s="18">
        <f t="shared" si="40"/>
        <v>4.7368800000000002</v>
      </c>
    </row>
    <row r="203" spans="1:16" x14ac:dyDescent="0.25">
      <c r="A203" s="42">
        <f t="shared" si="39"/>
        <v>39</v>
      </c>
      <c r="B203">
        <f t="shared" si="32"/>
        <v>6.6697000000000006</v>
      </c>
      <c r="D203" s="3">
        <f t="shared" si="33"/>
        <v>6.0083999999999991</v>
      </c>
      <c r="F203">
        <f t="shared" si="34"/>
        <v>5.6637000000000004</v>
      </c>
      <c r="H203" s="18">
        <f t="shared" si="35"/>
        <v>6.3605</v>
      </c>
      <c r="J203">
        <f t="shared" si="36"/>
        <v>6.3011999999999997</v>
      </c>
      <c r="L203" s="18">
        <f t="shared" si="37"/>
        <v>6.8290000000000006</v>
      </c>
      <c r="N203">
        <f t="shared" si="38"/>
        <v>6.9540000000000006</v>
      </c>
      <c r="P203" s="18">
        <f t="shared" si="40"/>
        <v>4.8176399999999999</v>
      </c>
    </row>
    <row r="204" spans="1:16" x14ac:dyDescent="0.25">
      <c r="A204" s="42">
        <f t="shared" si="39"/>
        <v>40</v>
      </c>
      <c r="B204">
        <f t="shared" si="32"/>
        <v>6.8130000000000006</v>
      </c>
      <c r="D204" s="18">
        <f t="shared" si="33"/>
        <v>6.1349999999999998</v>
      </c>
      <c r="F204">
        <f t="shared" si="34"/>
        <v>5.76</v>
      </c>
      <c r="H204" s="18">
        <f t="shared" si="35"/>
        <v>6.492</v>
      </c>
      <c r="J204">
        <f t="shared" si="36"/>
        <v>6.4239999999999995</v>
      </c>
      <c r="L204" s="18">
        <f t="shared" si="37"/>
        <v>6.9649999999999999</v>
      </c>
      <c r="N204">
        <f t="shared" si="38"/>
        <v>7.0890000000000004</v>
      </c>
      <c r="P204" s="18">
        <f t="shared" si="40"/>
        <v>4.8983999999999996</v>
      </c>
    </row>
    <row r="205" spans="1:16" x14ac:dyDescent="0.25">
      <c r="A205" s="42">
        <f t="shared" si="39"/>
        <v>41</v>
      </c>
      <c r="B205">
        <f t="shared" si="32"/>
        <v>6.9563000000000006</v>
      </c>
      <c r="D205" s="18">
        <f t="shared" si="33"/>
        <v>6.2615999999999996</v>
      </c>
      <c r="F205">
        <f t="shared" si="34"/>
        <v>5.8562999999999992</v>
      </c>
      <c r="H205" s="18">
        <f t="shared" si="35"/>
        <v>6.6235000000000008</v>
      </c>
      <c r="J205">
        <f t="shared" si="36"/>
        <v>6.5468000000000011</v>
      </c>
      <c r="L205" s="18">
        <f t="shared" si="37"/>
        <v>7.1010000000000009</v>
      </c>
      <c r="N205">
        <f t="shared" si="38"/>
        <v>7.2240000000000002</v>
      </c>
      <c r="P205" s="18">
        <f t="shared" si="40"/>
        <v>4.9791600000000003</v>
      </c>
    </row>
    <row r="206" spans="1:16" x14ac:dyDescent="0.25">
      <c r="A206" s="42">
        <f t="shared" si="39"/>
        <v>42</v>
      </c>
      <c r="B206">
        <f t="shared" si="32"/>
        <v>7.0996000000000006</v>
      </c>
      <c r="D206" s="18">
        <f t="shared" si="33"/>
        <v>6.3881999999999994</v>
      </c>
      <c r="F206">
        <f t="shared" si="34"/>
        <v>5.9526000000000003</v>
      </c>
      <c r="H206" s="18">
        <f t="shared" si="35"/>
        <v>6.7550000000000008</v>
      </c>
      <c r="J206">
        <f t="shared" si="36"/>
        <v>6.6696000000000009</v>
      </c>
      <c r="L206" s="18">
        <f t="shared" si="37"/>
        <v>7.2370000000000001</v>
      </c>
      <c r="N206">
        <f t="shared" si="38"/>
        <v>7.359</v>
      </c>
      <c r="P206" s="18">
        <f t="shared" si="40"/>
        <v>5.05992</v>
      </c>
    </row>
    <row r="207" spans="1:16" x14ac:dyDescent="0.25">
      <c r="A207" s="42">
        <f t="shared" si="39"/>
        <v>43</v>
      </c>
      <c r="B207">
        <f t="shared" si="32"/>
        <v>7.2429000000000006</v>
      </c>
      <c r="D207" s="18">
        <f t="shared" si="33"/>
        <v>6.5147999999999993</v>
      </c>
      <c r="F207" s="3">
        <f t="shared" si="34"/>
        <v>6.0488999999999997</v>
      </c>
      <c r="H207" s="18">
        <f t="shared" si="35"/>
        <v>6.8865000000000007</v>
      </c>
      <c r="J207">
        <f t="shared" si="36"/>
        <v>6.7924000000000007</v>
      </c>
      <c r="L207" s="18">
        <f t="shared" si="37"/>
        <v>7.3730000000000011</v>
      </c>
      <c r="N207">
        <f t="shared" si="38"/>
        <v>7.4940000000000007</v>
      </c>
      <c r="P207" s="18">
        <f t="shared" si="40"/>
        <v>5.1406799999999997</v>
      </c>
    </row>
    <row r="208" spans="1:16" x14ac:dyDescent="0.25">
      <c r="A208" s="42">
        <f t="shared" si="39"/>
        <v>44</v>
      </c>
      <c r="B208">
        <f t="shared" si="32"/>
        <v>7.3862000000000005</v>
      </c>
      <c r="D208" s="18">
        <f t="shared" si="33"/>
        <v>6.6413999999999991</v>
      </c>
      <c r="F208">
        <f t="shared" si="34"/>
        <v>6.1451999999999991</v>
      </c>
      <c r="H208" s="18">
        <f t="shared" si="35"/>
        <v>7.0180000000000007</v>
      </c>
      <c r="J208">
        <f t="shared" si="36"/>
        <v>6.9152000000000005</v>
      </c>
      <c r="L208" s="18">
        <f t="shared" si="37"/>
        <v>7.5090000000000003</v>
      </c>
      <c r="N208">
        <f t="shared" si="38"/>
        <v>7.6290000000000004</v>
      </c>
      <c r="P208" s="18">
        <f t="shared" si="40"/>
        <v>5.2214400000000003</v>
      </c>
    </row>
    <row r="209" spans="1:17" x14ac:dyDescent="0.25">
      <c r="A209" s="42">
        <f t="shared" si="39"/>
        <v>45</v>
      </c>
      <c r="B209">
        <f t="shared" si="32"/>
        <v>7.5295000000000005</v>
      </c>
      <c r="D209" s="18">
        <f t="shared" si="33"/>
        <v>6.7679999999999989</v>
      </c>
      <c r="F209">
        <f t="shared" si="34"/>
        <v>6.2415000000000003</v>
      </c>
      <c r="H209" s="18">
        <f t="shared" si="35"/>
        <v>7.1495000000000006</v>
      </c>
      <c r="J209">
        <f t="shared" si="36"/>
        <v>7.0380000000000003</v>
      </c>
      <c r="L209" s="18">
        <f t="shared" si="37"/>
        <v>7.6449999999999996</v>
      </c>
      <c r="N209">
        <f t="shared" si="38"/>
        <v>7.7640000000000002</v>
      </c>
      <c r="P209" s="18">
        <f t="shared" si="40"/>
        <v>5.3022</v>
      </c>
    </row>
    <row r="210" spans="1:17" x14ac:dyDescent="0.25">
      <c r="A210" s="42">
        <f t="shared" si="39"/>
        <v>46</v>
      </c>
      <c r="B210">
        <f t="shared" si="32"/>
        <v>7.6728000000000005</v>
      </c>
      <c r="D210" s="18">
        <f t="shared" si="33"/>
        <v>6.8945999999999996</v>
      </c>
      <c r="F210">
        <f t="shared" si="34"/>
        <v>6.3377999999999997</v>
      </c>
      <c r="H210" s="18">
        <f t="shared" si="35"/>
        <v>7.2810000000000006</v>
      </c>
      <c r="J210">
        <f t="shared" si="36"/>
        <v>7.1608000000000001</v>
      </c>
      <c r="L210" s="18">
        <f t="shared" si="37"/>
        <v>7.7810000000000006</v>
      </c>
      <c r="N210">
        <f t="shared" si="38"/>
        <v>7.8990000000000009</v>
      </c>
      <c r="P210" s="18">
        <f t="shared" si="40"/>
        <v>5.3829599999999997</v>
      </c>
    </row>
    <row r="211" spans="1:17" x14ac:dyDescent="0.25">
      <c r="A211" s="42">
        <f t="shared" si="39"/>
        <v>47</v>
      </c>
      <c r="B211">
        <f t="shared" si="32"/>
        <v>7.8161000000000005</v>
      </c>
      <c r="D211" s="18">
        <f t="shared" si="33"/>
        <v>7.0211999999999994</v>
      </c>
      <c r="F211">
        <f t="shared" si="34"/>
        <v>6.434099999999999</v>
      </c>
      <c r="H211" s="18">
        <f t="shared" si="35"/>
        <v>7.4125000000000005</v>
      </c>
      <c r="J211">
        <f t="shared" si="36"/>
        <v>7.2835999999999999</v>
      </c>
      <c r="L211" s="18">
        <f t="shared" si="37"/>
        <v>7.9169999999999998</v>
      </c>
      <c r="N211">
        <f t="shared" si="38"/>
        <v>8.0340000000000007</v>
      </c>
      <c r="P211" s="18">
        <f t="shared" si="40"/>
        <v>5.4637199999999995</v>
      </c>
    </row>
    <row r="212" spans="1:17" x14ac:dyDescent="0.25">
      <c r="A212" s="42">
        <f t="shared" si="39"/>
        <v>48</v>
      </c>
      <c r="B212">
        <f t="shared" si="32"/>
        <v>7.9594000000000005</v>
      </c>
      <c r="D212" s="18">
        <f t="shared" si="33"/>
        <v>7.1477999999999993</v>
      </c>
      <c r="F212">
        <f t="shared" si="34"/>
        <v>6.5304000000000002</v>
      </c>
      <c r="H212" s="18">
        <f t="shared" si="35"/>
        <v>7.5440000000000005</v>
      </c>
      <c r="J212">
        <f t="shared" si="36"/>
        <v>7.4063999999999997</v>
      </c>
      <c r="L212" s="18">
        <f t="shared" si="37"/>
        <v>8.0530000000000008</v>
      </c>
      <c r="N212">
        <f t="shared" si="38"/>
        <v>8.1690000000000005</v>
      </c>
      <c r="P212" s="18">
        <f t="shared" si="40"/>
        <v>5.5444800000000001</v>
      </c>
    </row>
    <row r="213" spans="1:17" x14ac:dyDescent="0.25">
      <c r="A213" s="42">
        <f t="shared" si="39"/>
        <v>49</v>
      </c>
      <c r="B213">
        <f t="shared" si="32"/>
        <v>8.1027000000000005</v>
      </c>
      <c r="D213" s="18">
        <f t="shared" si="33"/>
        <v>7.2743999999999991</v>
      </c>
      <c r="F213">
        <f t="shared" si="34"/>
        <v>6.6266999999999996</v>
      </c>
      <c r="H213" s="18">
        <f t="shared" si="35"/>
        <v>7.6755000000000004</v>
      </c>
      <c r="J213">
        <f t="shared" si="36"/>
        <v>7.5291999999999994</v>
      </c>
      <c r="L213" s="18">
        <f t="shared" si="37"/>
        <v>8.1890000000000001</v>
      </c>
      <c r="N213">
        <f t="shared" si="38"/>
        <v>8.3040000000000003</v>
      </c>
      <c r="P213" s="18">
        <f t="shared" si="40"/>
        <v>5.6252399999999998</v>
      </c>
    </row>
    <row r="214" spans="1:17" x14ac:dyDescent="0.25">
      <c r="A214" s="42">
        <f t="shared" si="39"/>
        <v>50</v>
      </c>
      <c r="B214">
        <f t="shared" si="32"/>
        <v>8.2460000000000004</v>
      </c>
      <c r="D214" s="18">
        <f t="shared" si="33"/>
        <v>7.4009999999999989</v>
      </c>
      <c r="F214">
        <f t="shared" si="34"/>
        <v>6.722999999999999</v>
      </c>
      <c r="H214" s="18">
        <f t="shared" si="35"/>
        <v>7.8070000000000004</v>
      </c>
      <c r="J214">
        <f t="shared" si="36"/>
        <v>7.652000000000001</v>
      </c>
      <c r="L214" s="18">
        <f t="shared" si="37"/>
        <v>8.3250000000000011</v>
      </c>
      <c r="N214">
        <f t="shared" si="38"/>
        <v>8.4390000000000001</v>
      </c>
      <c r="P214" s="18">
        <f t="shared" si="40"/>
        <v>5.7060000000000004</v>
      </c>
    </row>
    <row r="215" spans="1:17" x14ac:dyDescent="0.25">
      <c r="B215" s="41" t="s">
        <v>19</v>
      </c>
      <c r="C215" s="20" t="s">
        <v>133</v>
      </c>
      <c r="D215" s="27" t="s">
        <v>19</v>
      </c>
      <c r="E215" s="28" t="s">
        <v>133</v>
      </c>
      <c r="F215" s="19" t="s">
        <v>19</v>
      </c>
      <c r="G215" s="20" t="s">
        <v>133</v>
      </c>
      <c r="H215" s="27" t="s">
        <v>19</v>
      </c>
      <c r="I215" s="28" t="s">
        <v>133</v>
      </c>
      <c r="J215" s="19" t="s">
        <v>19</v>
      </c>
      <c r="K215" s="20" t="s">
        <v>133</v>
      </c>
      <c r="L215" s="27" t="s">
        <v>19</v>
      </c>
      <c r="M215" s="28" t="s">
        <v>133</v>
      </c>
      <c r="N215" s="19" t="s">
        <v>19</v>
      </c>
      <c r="O215" s="20" t="s">
        <v>133</v>
      </c>
      <c r="P215" s="27" t="s">
        <v>19</v>
      </c>
      <c r="Q215" s="28" t="s">
        <v>133</v>
      </c>
    </row>
    <row r="216" spans="1:17" x14ac:dyDescent="0.25">
      <c r="B216" s="39" t="s">
        <v>134</v>
      </c>
      <c r="C216">
        <v>0.1207</v>
      </c>
      <c r="D216" s="29" t="s">
        <v>134</v>
      </c>
      <c r="E216" s="18">
        <v>8.1850000000000006E-2</v>
      </c>
      <c r="F216" s="21" t="s">
        <v>134</v>
      </c>
      <c r="G216">
        <v>0.1177</v>
      </c>
      <c r="H216" s="29" t="s">
        <v>134</v>
      </c>
      <c r="I216" s="17">
        <v>9.955E-2</v>
      </c>
      <c r="J216" s="21" t="s">
        <v>134</v>
      </c>
      <c r="K216" s="22">
        <v>0.1002</v>
      </c>
      <c r="L216" s="29" t="s">
        <v>134</v>
      </c>
      <c r="M216" s="17">
        <v>0.12920000000000001</v>
      </c>
      <c r="N216" s="21" t="s">
        <v>134</v>
      </c>
      <c r="O216" s="22">
        <v>9.9479999999999999E-2</v>
      </c>
      <c r="P216" s="29" t="s">
        <v>134</v>
      </c>
      <c r="Q216" s="17">
        <v>0.10390000000000001</v>
      </c>
    </row>
    <row r="217" spans="1:17" x14ac:dyDescent="0.25">
      <c r="B217" s="40" t="s">
        <v>135</v>
      </c>
      <c r="C217" s="24">
        <v>1.718</v>
      </c>
      <c r="D217" s="30" t="s">
        <v>135</v>
      </c>
      <c r="E217" s="25">
        <v>1.786</v>
      </c>
      <c r="F217" s="23" t="s">
        <v>135</v>
      </c>
      <c r="G217" s="24">
        <v>0.99860000000000004</v>
      </c>
      <c r="H217" s="30" t="s">
        <v>135</v>
      </c>
      <c r="I217" s="25">
        <v>1.3049999999999999</v>
      </c>
      <c r="J217" s="23" t="s">
        <v>135</v>
      </c>
      <c r="K217" s="24">
        <v>2.0419999999999998</v>
      </c>
      <c r="L217" s="30" t="s">
        <v>135</v>
      </c>
      <c r="M217" s="25">
        <v>1.665</v>
      </c>
      <c r="N217" s="23" t="s">
        <v>135</v>
      </c>
      <c r="O217" s="24">
        <v>1.7410000000000001</v>
      </c>
      <c r="P217" s="30" t="s">
        <v>135</v>
      </c>
      <c r="Q217" s="25">
        <v>1.4339999999999999</v>
      </c>
    </row>
    <row r="218" spans="1:17" x14ac:dyDescent="0.25">
      <c r="A218" s="42">
        <f>A214+1</f>
        <v>51</v>
      </c>
      <c r="B218">
        <f>($C$216*($A218-50))+$C$217</f>
        <v>1.8387</v>
      </c>
      <c r="D218" s="18">
        <f t="shared" ref="D218:D249" si="41">($E$216*($A218-50))+$E$217</f>
        <v>1.86785</v>
      </c>
      <c r="F218">
        <f>($G$216*($A218-50))+$G$217</f>
        <v>1.1163000000000001</v>
      </c>
      <c r="H218" s="18">
        <f>($I$216*($A218-50))+$I$217</f>
        <v>1.40455</v>
      </c>
      <c r="J218">
        <f>($K$216*($A218-50))+$K$217</f>
        <v>2.1421999999999999</v>
      </c>
      <c r="L218" s="18">
        <f>($M$216*($A218-50))+$M$217</f>
        <v>1.7942</v>
      </c>
      <c r="N218">
        <f>($O$216*($A218-50))+$O$217</f>
        <v>1.8404800000000001</v>
      </c>
      <c r="P218" s="18">
        <f>($Q$216*($A218-50))+$Q$217</f>
        <v>1.5379</v>
      </c>
    </row>
    <row r="219" spans="1:17" x14ac:dyDescent="0.25">
      <c r="A219" s="42">
        <f t="shared" ref="A219:A267" si="42">A218+1</f>
        <v>52</v>
      </c>
      <c r="B219">
        <f t="shared" ref="B219:B267" si="43">($C$216*($A219-50))+$C$217</f>
        <v>1.9594</v>
      </c>
      <c r="D219" s="18">
        <f t="shared" si="41"/>
        <v>1.9497</v>
      </c>
      <c r="F219">
        <f t="shared" ref="F219:F267" si="44">($G$216*($A219-50))+$G$217</f>
        <v>1.234</v>
      </c>
      <c r="H219" s="18">
        <f t="shared" ref="H219:H267" si="45">($I$216*($A219-50))+$I$217</f>
        <v>1.5041</v>
      </c>
      <c r="J219">
        <f t="shared" ref="J219:J267" si="46">($K$216*($A219-50))+$K$217</f>
        <v>2.2423999999999999</v>
      </c>
      <c r="L219" s="18">
        <f t="shared" ref="L219:L267" si="47">($M$216*($A219-50))+$M$217</f>
        <v>1.9234</v>
      </c>
      <c r="N219">
        <f t="shared" ref="N219:N267" si="48">($O$216*($A219-50))+$O$217</f>
        <v>1.9399600000000001</v>
      </c>
      <c r="P219" s="18">
        <f t="shared" ref="P219:P267" si="49">($Q$216*($A219-50))+$Q$217</f>
        <v>1.6417999999999999</v>
      </c>
    </row>
    <row r="220" spans="1:17" x14ac:dyDescent="0.25">
      <c r="A220" s="42">
        <f t="shared" si="42"/>
        <v>53</v>
      </c>
      <c r="B220">
        <f t="shared" si="43"/>
        <v>2.0800999999999998</v>
      </c>
      <c r="D220" s="18">
        <f t="shared" si="41"/>
        <v>2.0315500000000002</v>
      </c>
      <c r="F220">
        <f t="shared" si="44"/>
        <v>1.3517000000000001</v>
      </c>
      <c r="H220" s="18">
        <f t="shared" si="45"/>
        <v>1.60365</v>
      </c>
      <c r="J220">
        <f t="shared" si="46"/>
        <v>2.3426</v>
      </c>
      <c r="L220" s="18">
        <f t="shared" si="47"/>
        <v>2.0526</v>
      </c>
      <c r="N220">
        <f t="shared" si="48"/>
        <v>2.0394399999999999</v>
      </c>
      <c r="P220" s="18">
        <f t="shared" si="49"/>
        <v>1.7457</v>
      </c>
    </row>
    <row r="221" spans="1:17" x14ac:dyDescent="0.25">
      <c r="A221" s="42">
        <f t="shared" si="42"/>
        <v>54</v>
      </c>
      <c r="B221">
        <f t="shared" si="43"/>
        <v>2.2008000000000001</v>
      </c>
      <c r="D221" s="18">
        <f t="shared" si="41"/>
        <v>2.1133999999999999</v>
      </c>
      <c r="F221">
        <f t="shared" si="44"/>
        <v>1.4694</v>
      </c>
      <c r="H221" s="18">
        <f t="shared" si="45"/>
        <v>1.7031999999999998</v>
      </c>
      <c r="J221">
        <f t="shared" si="46"/>
        <v>2.4427999999999996</v>
      </c>
      <c r="L221" s="18">
        <f t="shared" si="47"/>
        <v>2.1818</v>
      </c>
      <c r="N221">
        <f t="shared" si="48"/>
        <v>2.1389200000000002</v>
      </c>
      <c r="P221" s="18">
        <f t="shared" si="49"/>
        <v>1.8495999999999999</v>
      </c>
    </row>
    <row r="222" spans="1:17" x14ac:dyDescent="0.25">
      <c r="A222" s="42">
        <f t="shared" si="42"/>
        <v>55</v>
      </c>
      <c r="B222">
        <f t="shared" si="43"/>
        <v>2.3214999999999999</v>
      </c>
      <c r="D222" s="18">
        <f t="shared" si="41"/>
        <v>2.1952500000000001</v>
      </c>
      <c r="F222">
        <f t="shared" si="44"/>
        <v>1.5871</v>
      </c>
      <c r="H222" s="18">
        <f t="shared" si="45"/>
        <v>1.8027500000000001</v>
      </c>
      <c r="J222">
        <f t="shared" si="46"/>
        <v>2.5429999999999997</v>
      </c>
      <c r="L222" s="18">
        <f t="shared" si="47"/>
        <v>2.3109999999999999</v>
      </c>
      <c r="N222">
        <f t="shared" si="48"/>
        <v>2.2383999999999999</v>
      </c>
      <c r="P222" s="18">
        <f t="shared" si="49"/>
        <v>1.9535</v>
      </c>
    </row>
    <row r="223" spans="1:17" x14ac:dyDescent="0.25">
      <c r="A223" s="42">
        <f t="shared" si="42"/>
        <v>56</v>
      </c>
      <c r="B223">
        <f t="shared" si="43"/>
        <v>2.4421999999999997</v>
      </c>
      <c r="D223" s="18">
        <f t="shared" si="41"/>
        <v>2.2770999999999999</v>
      </c>
      <c r="F223">
        <f t="shared" si="44"/>
        <v>1.7048000000000001</v>
      </c>
      <c r="H223" s="18">
        <f t="shared" si="45"/>
        <v>1.9022999999999999</v>
      </c>
      <c r="J223">
        <f t="shared" si="46"/>
        <v>2.6431999999999998</v>
      </c>
      <c r="L223" s="18">
        <f t="shared" si="47"/>
        <v>2.4401999999999999</v>
      </c>
      <c r="N223">
        <f t="shared" si="48"/>
        <v>2.3378800000000002</v>
      </c>
      <c r="P223" s="18">
        <f t="shared" si="49"/>
        <v>2.0573999999999999</v>
      </c>
    </row>
    <row r="224" spans="1:17" x14ac:dyDescent="0.25">
      <c r="A224" s="42">
        <f t="shared" si="42"/>
        <v>57</v>
      </c>
      <c r="B224">
        <f t="shared" si="43"/>
        <v>2.5629</v>
      </c>
      <c r="D224" s="18">
        <f t="shared" si="41"/>
        <v>2.3589500000000001</v>
      </c>
      <c r="F224">
        <f t="shared" si="44"/>
        <v>1.8225</v>
      </c>
      <c r="H224" s="18">
        <f t="shared" si="45"/>
        <v>2.0018500000000001</v>
      </c>
      <c r="J224">
        <f t="shared" si="46"/>
        <v>2.7433999999999998</v>
      </c>
      <c r="L224" s="18">
        <f t="shared" si="47"/>
        <v>2.5693999999999999</v>
      </c>
      <c r="N224">
        <f t="shared" si="48"/>
        <v>2.43736</v>
      </c>
      <c r="P224" s="18">
        <f t="shared" si="49"/>
        <v>2.1612999999999998</v>
      </c>
    </row>
    <row r="225" spans="1:16" x14ac:dyDescent="0.25">
      <c r="A225" s="42">
        <f t="shared" si="42"/>
        <v>58</v>
      </c>
      <c r="B225">
        <f t="shared" si="43"/>
        <v>2.6836000000000002</v>
      </c>
      <c r="D225" s="18">
        <f t="shared" si="41"/>
        <v>2.4408000000000003</v>
      </c>
      <c r="F225">
        <f t="shared" si="44"/>
        <v>1.9401999999999999</v>
      </c>
      <c r="H225" s="18">
        <f t="shared" si="45"/>
        <v>2.1013999999999999</v>
      </c>
      <c r="J225">
        <f t="shared" si="46"/>
        <v>2.8435999999999999</v>
      </c>
      <c r="L225" s="18">
        <f t="shared" si="47"/>
        <v>2.6985999999999999</v>
      </c>
      <c r="N225">
        <f t="shared" si="48"/>
        <v>2.5368400000000002</v>
      </c>
      <c r="P225" s="18">
        <f t="shared" si="49"/>
        <v>2.2652000000000001</v>
      </c>
    </row>
    <row r="226" spans="1:16" x14ac:dyDescent="0.25">
      <c r="A226" s="42">
        <f t="shared" si="42"/>
        <v>59</v>
      </c>
      <c r="B226">
        <f t="shared" si="43"/>
        <v>2.8043</v>
      </c>
      <c r="D226" s="18">
        <f t="shared" si="41"/>
        <v>2.5226500000000001</v>
      </c>
      <c r="F226">
        <f t="shared" si="44"/>
        <v>2.0579000000000001</v>
      </c>
      <c r="H226" s="18">
        <f t="shared" si="45"/>
        <v>2.2009499999999997</v>
      </c>
      <c r="J226">
        <f t="shared" si="46"/>
        <v>2.9437999999999995</v>
      </c>
      <c r="L226" s="18">
        <f t="shared" si="47"/>
        <v>2.8277999999999999</v>
      </c>
      <c r="N226">
        <f t="shared" si="48"/>
        <v>2.63632</v>
      </c>
      <c r="P226" s="18">
        <f t="shared" si="49"/>
        <v>2.3691</v>
      </c>
    </row>
    <row r="227" spans="1:16" x14ac:dyDescent="0.25">
      <c r="A227" s="42">
        <f t="shared" si="42"/>
        <v>60</v>
      </c>
      <c r="B227">
        <f t="shared" si="43"/>
        <v>2.9249999999999998</v>
      </c>
      <c r="D227" s="18">
        <f t="shared" si="41"/>
        <v>2.6044999999999998</v>
      </c>
      <c r="F227">
        <f t="shared" si="44"/>
        <v>2.1756000000000002</v>
      </c>
      <c r="H227" s="18">
        <f t="shared" si="45"/>
        <v>2.3005</v>
      </c>
      <c r="J227">
        <f t="shared" si="46"/>
        <v>3.0439999999999996</v>
      </c>
      <c r="L227" s="18">
        <f t="shared" si="47"/>
        <v>2.9569999999999999</v>
      </c>
      <c r="N227">
        <f t="shared" si="48"/>
        <v>2.7358000000000002</v>
      </c>
      <c r="P227" s="18">
        <f t="shared" si="49"/>
        <v>2.4729999999999999</v>
      </c>
    </row>
    <row r="228" spans="1:16" x14ac:dyDescent="0.25">
      <c r="A228" s="42">
        <f t="shared" si="42"/>
        <v>61</v>
      </c>
      <c r="B228">
        <f t="shared" si="43"/>
        <v>3.0457000000000001</v>
      </c>
      <c r="D228" s="18">
        <f t="shared" si="41"/>
        <v>2.68635</v>
      </c>
      <c r="F228">
        <f t="shared" si="44"/>
        <v>2.2932999999999999</v>
      </c>
      <c r="H228" s="18">
        <f t="shared" si="45"/>
        <v>2.4000500000000002</v>
      </c>
      <c r="J228">
        <f t="shared" si="46"/>
        <v>3.1441999999999997</v>
      </c>
      <c r="L228" s="18">
        <f t="shared" si="47"/>
        <v>3.0861999999999998</v>
      </c>
      <c r="N228">
        <f t="shared" si="48"/>
        <v>2.83528</v>
      </c>
      <c r="P228" s="18">
        <f t="shared" si="49"/>
        <v>2.5769000000000002</v>
      </c>
    </row>
    <row r="229" spans="1:16" x14ac:dyDescent="0.25">
      <c r="A229" s="42">
        <f t="shared" si="42"/>
        <v>62</v>
      </c>
      <c r="B229">
        <f t="shared" si="43"/>
        <v>3.1663999999999999</v>
      </c>
      <c r="D229" s="18">
        <f t="shared" si="41"/>
        <v>2.7682000000000002</v>
      </c>
      <c r="F229">
        <f t="shared" si="44"/>
        <v>2.411</v>
      </c>
      <c r="H229" s="18">
        <f t="shared" si="45"/>
        <v>2.4996</v>
      </c>
      <c r="J229">
        <f t="shared" si="46"/>
        <v>3.2443999999999997</v>
      </c>
      <c r="L229" s="18">
        <f t="shared" si="47"/>
        <v>3.2154000000000003</v>
      </c>
      <c r="N229">
        <f t="shared" si="48"/>
        <v>2.9347599999999998</v>
      </c>
      <c r="P229" s="18">
        <f t="shared" si="49"/>
        <v>2.6808000000000001</v>
      </c>
    </row>
    <row r="230" spans="1:16" x14ac:dyDescent="0.25">
      <c r="A230" s="42">
        <f t="shared" si="42"/>
        <v>63</v>
      </c>
      <c r="B230">
        <f t="shared" si="43"/>
        <v>3.2870999999999997</v>
      </c>
      <c r="D230" s="18">
        <f t="shared" si="41"/>
        <v>2.8500500000000004</v>
      </c>
      <c r="F230">
        <f t="shared" si="44"/>
        <v>2.5287000000000002</v>
      </c>
      <c r="H230" s="18">
        <f t="shared" si="45"/>
        <v>2.5991499999999998</v>
      </c>
      <c r="J230">
        <f t="shared" si="46"/>
        <v>3.3445999999999998</v>
      </c>
      <c r="L230" s="18">
        <f t="shared" si="47"/>
        <v>3.3446000000000002</v>
      </c>
      <c r="N230">
        <f t="shared" si="48"/>
        <v>3.03424</v>
      </c>
      <c r="P230" s="18">
        <f t="shared" si="49"/>
        <v>2.7847</v>
      </c>
    </row>
    <row r="231" spans="1:16" x14ac:dyDescent="0.25">
      <c r="A231" s="42">
        <f t="shared" si="42"/>
        <v>64</v>
      </c>
      <c r="B231">
        <f t="shared" si="43"/>
        <v>3.4077999999999999</v>
      </c>
      <c r="D231" s="18">
        <f t="shared" si="41"/>
        <v>2.9319000000000002</v>
      </c>
      <c r="F231">
        <f t="shared" si="44"/>
        <v>2.6463999999999999</v>
      </c>
      <c r="H231" s="18">
        <f t="shared" si="45"/>
        <v>2.6986999999999997</v>
      </c>
      <c r="J231">
        <f t="shared" si="46"/>
        <v>3.4447999999999999</v>
      </c>
      <c r="L231" s="18">
        <f t="shared" si="47"/>
        <v>3.4738000000000002</v>
      </c>
      <c r="N231">
        <f t="shared" si="48"/>
        <v>3.1337200000000003</v>
      </c>
      <c r="P231" s="18">
        <f t="shared" si="49"/>
        <v>2.8886000000000003</v>
      </c>
    </row>
    <row r="232" spans="1:16" x14ac:dyDescent="0.25">
      <c r="A232" s="42">
        <f t="shared" si="42"/>
        <v>65</v>
      </c>
      <c r="B232">
        <f t="shared" si="43"/>
        <v>3.5285000000000002</v>
      </c>
      <c r="D232" s="18">
        <f t="shared" si="41"/>
        <v>3.0137499999999999</v>
      </c>
      <c r="F232">
        <f t="shared" si="44"/>
        <v>2.7641</v>
      </c>
      <c r="H232" s="18">
        <f t="shared" si="45"/>
        <v>2.7982499999999999</v>
      </c>
      <c r="J232">
        <f t="shared" si="46"/>
        <v>3.5449999999999999</v>
      </c>
      <c r="L232" s="18">
        <f t="shared" si="47"/>
        <v>3.6030000000000002</v>
      </c>
      <c r="N232">
        <f t="shared" si="48"/>
        <v>3.2332000000000001</v>
      </c>
      <c r="P232" s="18">
        <f t="shared" si="49"/>
        <v>2.9924999999999997</v>
      </c>
    </row>
    <row r="233" spans="1:16" x14ac:dyDescent="0.25">
      <c r="A233" s="42">
        <f t="shared" si="42"/>
        <v>66</v>
      </c>
      <c r="B233">
        <f t="shared" si="43"/>
        <v>3.6492</v>
      </c>
      <c r="D233" s="18">
        <f t="shared" si="41"/>
        <v>3.0956000000000001</v>
      </c>
      <c r="F233">
        <f t="shared" si="44"/>
        <v>2.8818000000000001</v>
      </c>
      <c r="H233" s="18">
        <f t="shared" si="45"/>
        <v>2.8978000000000002</v>
      </c>
      <c r="J233">
        <f t="shared" si="46"/>
        <v>3.6452</v>
      </c>
      <c r="L233" s="18">
        <f t="shared" si="47"/>
        <v>3.7322000000000002</v>
      </c>
      <c r="N233">
        <f t="shared" si="48"/>
        <v>3.3326799999999999</v>
      </c>
      <c r="P233" s="18">
        <f t="shared" si="49"/>
        <v>3.0964</v>
      </c>
    </row>
    <row r="234" spans="1:16" x14ac:dyDescent="0.25">
      <c r="A234" s="42">
        <f t="shared" si="42"/>
        <v>67</v>
      </c>
      <c r="B234">
        <f t="shared" si="43"/>
        <v>3.7698999999999998</v>
      </c>
      <c r="D234" s="18">
        <f t="shared" si="41"/>
        <v>3.1774500000000003</v>
      </c>
      <c r="F234">
        <f t="shared" si="44"/>
        <v>2.9995000000000003</v>
      </c>
      <c r="H234" s="18">
        <f t="shared" si="45"/>
        <v>2.99735</v>
      </c>
      <c r="J234">
        <f t="shared" si="46"/>
        <v>3.7454000000000001</v>
      </c>
      <c r="L234" s="18">
        <f t="shared" si="47"/>
        <v>3.8614000000000002</v>
      </c>
      <c r="N234">
        <f t="shared" si="48"/>
        <v>3.4321600000000001</v>
      </c>
      <c r="P234" s="18">
        <f t="shared" si="49"/>
        <v>3.2003000000000004</v>
      </c>
    </row>
    <row r="235" spans="1:16" x14ac:dyDescent="0.25">
      <c r="A235" s="42">
        <f t="shared" si="42"/>
        <v>68</v>
      </c>
      <c r="B235">
        <f t="shared" si="43"/>
        <v>3.8906000000000001</v>
      </c>
      <c r="D235" s="18">
        <f t="shared" si="41"/>
        <v>3.2593000000000001</v>
      </c>
      <c r="F235">
        <f t="shared" si="44"/>
        <v>3.1172</v>
      </c>
      <c r="H235" s="18">
        <f t="shared" si="45"/>
        <v>3.0968999999999998</v>
      </c>
      <c r="J235">
        <f t="shared" si="46"/>
        <v>3.8455999999999997</v>
      </c>
      <c r="L235" s="18">
        <f t="shared" si="47"/>
        <v>3.9906000000000001</v>
      </c>
      <c r="N235">
        <f t="shared" si="48"/>
        <v>3.5316400000000003</v>
      </c>
      <c r="P235" s="18">
        <f t="shared" si="49"/>
        <v>3.3041999999999998</v>
      </c>
    </row>
    <row r="236" spans="1:16" x14ac:dyDescent="0.25">
      <c r="A236" s="42">
        <f t="shared" si="42"/>
        <v>69</v>
      </c>
      <c r="B236">
        <f t="shared" si="43"/>
        <v>4.0113000000000003</v>
      </c>
      <c r="D236" s="18">
        <f t="shared" si="41"/>
        <v>3.3411499999999998</v>
      </c>
      <c r="F236">
        <f t="shared" si="44"/>
        <v>3.2349000000000001</v>
      </c>
      <c r="H236" s="18">
        <f t="shared" si="45"/>
        <v>3.19645</v>
      </c>
      <c r="J236">
        <f t="shared" si="46"/>
        <v>3.9457999999999998</v>
      </c>
      <c r="L236" s="18">
        <f t="shared" si="47"/>
        <v>4.1197999999999997</v>
      </c>
      <c r="N236">
        <f t="shared" si="48"/>
        <v>3.6311200000000001</v>
      </c>
      <c r="P236" s="18">
        <f t="shared" si="49"/>
        <v>3.4081000000000001</v>
      </c>
    </row>
    <row r="237" spans="1:16" x14ac:dyDescent="0.25">
      <c r="A237" s="42">
        <f t="shared" si="42"/>
        <v>70</v>
      </c>
      <c r="B237">
        <f t="shared" si="43"/>
        <v>4.1319999999999997</v>
      </c>
      <c r="D237" s="18">
        <f t="shared" si="41"/>
        <v>3.423</v>
      </c>
      <c r="F237">
        <f t="shared" si="44"/>
        <v>3.3526000000000002</v>
      </c>
      <c r="H237" s="18">
        <f t="shared" si="45"/>
        <v>3.2960000000000003</v>
      </c>
      <c r="J237">
        <f t="shared" si="46"/>
        <v>4.0459999999999994</v>
      </c>
      <c r="L237" s="18">
        <f t="shared" si="47"/>
        <v>4.2490000000000006</v>
      </c>
      <c r="N237">
        <f t="shared" si="48"/>
        <v>3.7305999999999999</v>
      </c>
      <c r="P237" s="18">
        <f t="shared" si="49"/>
        <v>3.5120000000000005</v>
      </c>
    </row>
    <row r="238" spans="1:16" x14ac:dyDescent="0.25">
      <c r="A238" s="42">
        <f t="shared" si="42"/>
        <v>71</v>
      </c>
      <c r="B238">
        <f t="shared" si="43"/>
        <v>4.2526999999999999</v>
      </c>
      <c r="D238" s="18">
        <f t="shared" si="41"/>
        <v>3.5048500000000002</v>
      </c>
      <c r="F238">
        <f t="shared" si="44"/>
        <v>3.4702999999999999</v>
      </c>
      <c r="H238" s="18">
        <f t="shared" si="45"/>
        <v>3.3955500000000001</v>
      </c>
      <c r="J238">
        <f t="shared" si="46"/>
        <v>4.1462000000000003</v>
      </c>
      <c r="L238" s="18">
        <f t="shared" si="47"/>
        <v>4.3781999999999996</v>
      </c>
      <c r="N238">
        <f t="shared" si="48"/>
        <v>3.8300800000000002</v>
      </c>
      <c r="P238" s="18">
        <f t="shared" si="49"/>
        <v>3.6158999999999999</v>
      </c>
    </row>
    <row r="239" spans="1:16" x14ac:dyDescent="0.25">
      <c r="A239" s="42">
        <f t="shared" si="42"/>
        <v>72</v>
      </c>
      <c r="B239">
        <f t="shared" si="43"/>
        <v>4.3734000000000002</v>
      </c>
      <c r="D239" s="18">
        <f t="shared" si="41"/>
        <v>3.5867000000000004</v>
      </c>
      <c r="F239">
        <f t="shared" si="44"/>
        <v>3.5880000000000001</v>
      </c>
      <c r="H239" s="18">
        <f t="shared" si="45"/>
        <v>3.4950999999999999</v>
      </c>
      <c r="J239">
        <f t="shared" si="46"/>
        <v>4.2463999999999995</v>
      </c>
      <c r="L239" s="18">
        <f t="shared" si="47"/>
        <v>4.5074000000000005</v>
      </c>
      <c r="N239">
        <f t="shared" si="48"/>
        <v>3.9295599999999999</v>
      </c>
      <c r="P239" s="18">
        <f t="shared" si="49"/>
        <v>3.7198000000000002</v>
      </c>
    </row>
    <row r="240" spans="1:16" x14ac:dyDescent="0.25">
      <c r="A240" s="42">
        <f t="shared" si="42"/>
        <v>73</v>
      </c>
      <c r="B240">
        <f t="shared" si="43"/>
        <v>4.4940999999999995</v>
      </c>
      <c r="D240" s="18">
        <f t="shared" si="41"/>
        <v>3.6685500000000002</v>
      </c>
      <c r="F240">
        <f t="shared" si="44"/>
        <v>3.7057000000000002</v>
      </c>
      <c r="H240" s="18">
        <f t="shared" si="45"/>
        <v>3.5946499999999997</v>
      </c>
      <c r="J240">
        <f t="shared" si="46"/>
        <v>4.3465999999999996</v>
      </c>
      <c r="L240" s="18">
        <f t="shared" si="47"/>
        <v>4.6365999999999996</v>
      </c>
      <c r="N240">
        <f t="shared" si="48"/>
        <v>4.0290400000000002</v>
      </c>
      <c r="P240" s="18">
        <f t="shared" si="49"/>
        <v>3.8236999999999997</v>
      </c>
    </row>
    <row r="241" spans="1:16" x14ac:dyDescent="0.25">
      <c r="A241" s="42">
        <f t="shared" si="42"/>
        <v>74</v>
      </c>
      <c r="B241">
        <f t="shared" si="43"/>
        <v>4.6147999999999998</v>
      </c>
      <c r="D241" s="18">
        <f t="shared" si="41"/>
        <v>3.7504</v>
      </c>
      <c r="F241">
        <f t="shared" si="44"/>
        <v>3.8233999999999999</v>
      </c>
      <c r="H241" s="18">
        <f t="shared" si="45"/>
        <v>3.6941999999999995</v>
      </c>
      <c r="J241">
        <f t="shared" si="46"/>
        <v>4.4467999999999996</v>
      </c>
      <c r="L241" s="18">
        <f t="shared" si="47"/>
        <v>4.7658000000000005</v>
      </c>
      <c r="N241">
        <f t="shared" si="48"/>
        <v>4.12852</v>
      </c>
      <c r="P241" s="18">
        <f t="shared" si="49"/>
        <v>3.9276</v>
      </c>
    </row>
    <row r="242" spans="1:16" x14ac:dyDescent="0.25">
      <c r="A242" s="42">
        <f t="shared" si="42"/>
        <v>75</v>
      </c>
      <c r="B242">
        <f t="shared" si="43"/>
        <v>4.7355</v>
      </c>
      <c r="D242" s="18">
        <f t="shared" si="41"/>
        <v>3.8322500000000002</v>
      </c>
      <c r="F242">
        <f t="shared" si="44"/>
        <v>3.9411</v>
      </c>
      <c r="H242" s="18">
        <f t="shared" si="45"/>
        <v>3.7937500000000002</v>
      </c>
      <c r="J242">
        <f t="shared" si="46"/>
        <v>4.5469999999999997</v>
      </c>
      <c r="L242" s="18">
        <f t="shared" si="47"/>
        <v>4.8950000000000005</v>
      </c>
      <c r="N242">
        <f t="shared" si="48"/>
        <v>4.2279999999999998</v>
      </c>
      <c r="P242" s="18">
        <f t="shared" si="49"/>
        <v>4.0315000000000003</v>
      </c>
    </row>
    <row r="243" spans="1:16" x14ac:dyDescent="0.25">
      <c r="A243" s="42">
        <f t="shared" si="42"/>
        <v>76</v>
      </c>
      <c r="B243">
        <f t="shared" si="43"/>
        <v>4.8561999999999994</v>
      </c>
      <c r="D243" s="18">
        <f t="shared" si="41"/>
        <v>3.9141000000000004</v>
      </c>
      <c r="F243">
        <f t="shared" si="44"/>
        <v>4.0587999999999997</v>
      </c>
      <c r="H243" s="18">
        <f t="shared" si="45"/>
        <v>3.8933</v>
      </c>
      <c r="J243">
        <f t="shared" si="46"/>
        <v>4.6471999999999998</v>
      </c>
      <c r="L243" s="18">
        <f t="shared" si="47"/>
        <v>5.0242000000000004</v>
      </c>
      <c r="N243">
        <f t="shared" si="48"/>
        <v>4.3274799999999995</v>
      </c>
      <c r="P243" s="18">
        <f t="shared" si="49"/>
        <v>4.1353999999999997</v>
      </c>
    </row>
    <row r="244" spans="1:16" x14ac:dyDescent="0.25">
      <c r="A244" s="42">
        <f t="shared" si="42"/>
        <v>77</v>
      </c>
      <c r="B244">
        <f t="shared" si="43"/>
        <v>4.9769000000000005</v>
      </c>
      <c r="D244" s="18">
        <f t="shared" si="41"/>
        <v>3.9959500000000001</v>
      </c>
      <c r="F244">
        <f t="shared" si="44"/>
        <v>4.1764999999999999</v>
      </c>
      <c r="H244" s="18">
        <f t="shared" si="45"/>
        <v>3.9928499999999998</v>
      </c>
      <c r="J244">
        <f t="shared" si="46"/>
        <v>4.7473999999999998</v>
      </c>
      <c r="L244" s="18">
        <f t="shared" si="47"/>
        <v>5.1534000000000004</v>
      </c>
      <c r="N244">
        <f t="shared" si="48"/>
        <v>4.4269600000000002</v>
      </c>
      <c r="P244" s="18">
        <f t="shared" si="49"/>
        <v>4.2393000000000001</v>
      </c>
    </row>
    <row r="245" spans="1:16" x14ac:dyDescent="0.25">
      <c r="A245" s="42">
        <f t="shared" si="42"/>
        <v>78</v>
      </c>
      <c r="B245">
        <f t="shared" si="43"/>
        <v>5.0975999999999999</v>
      </c>
      <c r="D245" s="18">
        <f t="shared" si="41"/>
        <v>4.0777999999999999</v>
      </c>
      <c r="F245">
        <f t="shared" si="44"/>
        <v>4.2942</v>
      </c>
      <c r="H245" s="18">
        <f t="shared" si="45"/>
        <v>4.0923999999999996</v>
      </c>
      <c r="J245">
        <f t="shared" si="46"/>
        <v>4.8475999999999999</v>
      </c>
      <c r="L245" s="18">
        <f t="shared" si="47"/>
        <v>5.2826000000000004</v>
      </c>
      <c r="N245">
        <f t="shared" si="48"/>
        <v>4.52644</v>
      </c>
      <c r="P245" s="18">
        <f t="shared" si="49"/>
        <v>4.3432000000000004</v>
      </c>
    </row>
    <row r="246" spans="1:16" x14ac:dyDescent="0.25">
      <c r="A246" s="42">
        <f t="shared" si="42"/>
        <v>79</v>
      </c>
      <c r="B246">
        <f t="shared" si="43"/>
        <v>5.2183000000000002</v>
      </c>
      <c r="D246" s="18">
        <f t="shared" si="41"/>
        <v>4.1596500000000001</v>
      </c>
      <c r="F246">
        <f t="shared" si="44"/>
        <v>4.4119000000000002</v>
      </c>
      <c r="H246" s="18">
        <f t="shared" si="45"/>
        <v>4.1919500000000003</v>
      </c>
      <c r="J246">
        <f t="shared" si="46"/>
        <v>4.9477999999999991</v>
      </c>
      <c r="L246" s="18">
        <f t="shared" si="47"/>
        <v>5.4118000000000004</v>
      </c>
      <c r="N246">
        <f t="shared" si="48"/>
        <v>4.6259200000000007</v>
      </c>
      <c r="P246" s="18">
        <f t="shared" si="49"/>
        <v>4.4470999999999998</v>
      </c>
    </row>
    <row r="247" spans="1:16" x14ac:dyDescent="0.25">
      <c r="A247" s="42">
        <f t="shared" si="42"/>
        <v>80</v>
      </c>
      <c r="B247">
        <f t="shared" si="43"/>
        <v>5.3390000000000004</v>
      </c>
      <c r="D247" s="18">
        <f t="shared" si="41"/>
        <v>4.2415000000000003</v>
      </c>
      <c r="F247" s="49">
        <f t="shared" si="44"/>
        <v>4.5296000000000003</v>
      </c>
      <c r="H247" s="18">
        <f t="shared" si="45"/>
        <v>4.2915000000000001</v>
      </c>
      <c r="J247">
        <f t="shared" si="46"/>
        <v>5.048</v>
      </c>
      <c r="L247" s="18">
        <f t="shared" si="47"/>
        <v>5.5410000000000004</v>
      </c>
      <c r="N247">
        <f t="shared" si="48"/>
        <v>4.7254000000000005</v>
      </c>
      <c r="P247" s="18">
        <f t="shared" si="49"/>
        <v>4.5510000000000002</v>
      </c>
    </row>
    <row r="248" spans="1:16" x14ac:dyDescent="0.25">
      <c r="A248" s="42">
        <f t="shared" si="42"/>
        <v>81</v>
      </c>
      <c r="B248">
        <f t="shared" si="43"/>
        <v>5.4596999999999998</v>
      </c>
      <c r="D248" s="18">
        <f t="shared" si="41"/>
        <v>4.3233499999999996</v>
      </c>
      <c r="F248">
        <f t="shared" si="44"/>
        <v>4.6472999999999995</v>
      </c>
      <c r="H248" s="18">
        <f t="shared" si="45"/>
        <v>4.3910499999999999</v>
      </c>
      <c r="J248">
        <f t="shared" si="46"/>
        <v>5.1481999999999992</v>
      </c>
      <c r="L248" s="18">
        <f t="shared" si="47"/>
        <v>5.6702000000000004</v>
      </c>
      <c r="N248">
        <f t="shared" si="48"/>
        <v>4.8248800000000003</v>
      </c>
      <c r="P248" s="18">
        <f t="shared" si="49"/>
        <v>4.6549000000000005</v>
      </c>
    </row>
    <row r="249" spans="1:16" x14ac:dyDescent="0.25">
      <c r="A249" s="42">
        <f t="shared" si="42"/>
        <v>82</v>
      </c>
      <c r="B249">
        <f t="shared" si="43"/>
        <v>5.5804</v>
      </c>
      <c r="D249" s="18">
        <f t="shared" si="41"/>
        <v>4.4052000000000007</v>
      </c>
      <c r="F249">
        <f t="shared" si="44"/>
        <v>4.7649999999999997</v>
      </c>
      <c r="H249" s="18">
        <f t="shared" si="45"/>
        <v>4.4905999999999997</v>
      </c>
      <c r="J249">
        <f t="shared" si="46"/>
        <v>5.2484000000000002</v>
      </c>
      <c r="L249" s="18">
        <f t="shared" si="47"/>
        <v>5.7994000000000003</v>
      </c>
      <c r="N249">
        <f t="shared" si="48"/>
        <v>4.9243600000000001</v>
      </c>
      <c r="P249" s="18">
        <f t="shared" si="49"/>
        <v>4.7587999999999999</v>
      </c>
    </row>
    <row r="250" spans="1:16" x14ac:dyDescent="0.25">
      <c r="A250" s="42">
        <f t="shared" si="42"/>
        <v>83</v>
      </c>
      <c r="B250">
        <f t="shared" si="43"/>
        <v>5.7011000000000003</v>
      </c>
      <c r="D250" s="49">
        <f t="shared" ref="D250:D267" si="50">($E$216*($A250-50))+$E$217</f>
        <v>4.48705</v>
      </c>
      <c r="F250">
        <f t="shared" si="44"/>
        <v>4.8826999999999998</v>
      </c>
      <c r="H250" s="18">
        <f t="shared" si="45"/>
        <v>4.5901499999999995</v>
      </c>
      <c r="J250">
        <f t="shared" si="46"/>
        <v>5.3485999999999994</v>
      </c>
      <c r="L250" s="18">
        <f t="shared" si="47"/>
        <v>5.9286000000000003</v>
      </c>
      <c r="N250">
        <f t="shared" si="48"/>
        <v>5.0238399999999999</v>
      </c>
      <c r="P250" s="18">
        <f t="shared" si="49"/>
        <v>4.8627000000000002</v>
      </c>
    </row>
    <row r="251" spans="1:16" x14ac:dyDescent="0.25">
      <c r="A251" s="42">
        <f t="shared" si="42"/>
        <v>84</v>
      </c>
      <c r="B251">
        <f t="shared" si="43"/>
        <v>5.8217999999999996</v>
      </c>
      <c r="D251" s="18">
        <f t="shared" si="50"/>
        <v>4.5689000000000002</v>
      </c>
      <c r="F251">
        <f t="shared" si="44"/>
        <v>5.0004</v>
      </c>
      <c r="H251" s="18">
        <f t="shared" si="45"/>
        <v>4.6897000000000002</v>
      </c>
      <c r="J251">
        <f t="shared" si="46"/>
        <v>5.4488000000000003</v>
      </c>
      <c r="L251" s="18">
        <f t="shared" si="47"/>
        <v>6.0578000000000003</v>
      </c>
      <c r="N251">
        <f t="shared" si="48"/>
        <v>5.1233199999999997</v>
      </c>
      <c r="P251" s="18">
        <f t="shared" si="49"/>
        <v>4.9666000000000006</v>
      </c>
    </row>
    <row r="252" spans="1:16" x14ac:dyDescent="0.25">
      <c r="A252" s="42">
        <f t="shared" si="42"/>
        <v>85</v>
      </c>
      <c r="B252">
        <f t="shared" si="43"/>
        <v>5.9424999999999999</v>
      </c>
      <c r="D252" s="18">
        <f t="shared" si="50"/>
        <v>4.6507500000000004</v>
      </c>
      <c r="F252">
        <f t="shared" si="44"/>
        <v>5.1181000000000001</v>
      </c>
      <c r="H252" s="18">
        <f t="shared" si="45"/>
        <v>4.78925</v>
      </c>
      <c r="J252">
        <f t="shared" si="46"/>
        <v>5.5489999999999995</v>
      </c>
      <c r="L252" s="18">
        <f t="shared" si="47"/>
        <v>6.1870000000000003</v>
      </c>
      <c r="N252">
        <f t="shared" si="48"/>
        <v>5.2227999999999994</v>
      </c>
      <c r="P252" s="18">
        <f t="shared" si="49"/>
        <v>5.0705</v>
      </c>
    </row>
    <row r="253" spans="1:16" x14ac:dyDescent="0.25">
      <c r="A253" s="42">
        <f t="shared" si="42"/>
        <v>86</v>
      </c>
      <c r="B253">
        <f t="shared" si="43"/>
        <v>6.0632000000000001</v>
      </c>
      <c r="D253" s="18">
        <f t="shared" si="50"/>
        <v>4.7325999999999997</v>
      </c>
      <c r="F253">
        <f t="shared" si="44"/>
        <v>5.2357999999999993</v>
      </c>
      <c r="H253" s="18">
        <f t="shared" si="45"/>
        <v>4.8887999999999998</v>
      </c>
      <c r="J253">
        <f t="shared" si="46"/>
        <v>5.6491999999999996</v>
      </c>
      <c r="L253" s="18">
        <f t="shared" si="47"/>
        <v>6.3162000000000003</v>
      </c>
      <c r="N253">
        <f t="shared" si="48"/>
        <v>5.3222800000000001</v>
      </c>
      <c r="P253" s="18">
        <f t="shared" si="49"/>
        <v>5.1744000000000003</v>
      </c>
    </row>
    <row r="254" spans="1:16" x14ac:dyDescent="0.25">
      <c r="A254" s="42">
        <f t="shared" si="42"/>
        <v>87</v>
      </c>
      <c r="B254">
        <f t="shared" si="43"/>
        <v>6.1839000000000004</v>
      </c>
      <c r="D254" s="18">
        <f t="shared" si="50"/>
        <v>4.8144500000000008</v>
      </c>
      <c r="F254">
        <f t="shared" si="44"/>
        <v>5.3534999999999995</v>
      </c>
      <c r="H254" s="18">
        <f t="shared" si="45"/>
        <v>4.9883499999999996</v>
      </c>
      <c r="J254">
        <f t="shared" si="46"/>
        <v>5.7493999999999996</v>
      </c>
      <c r="L254" s="18">
        <f t="shared" si="47"/>
        <v>6.4454000000000002</v>
      </c>
      <c r="N254">
        <f t="shared" si="48"/>
        <v>5.4217599999999999</v>
      </c>
      <c r="P254" s="18">
        <f t="shared" si="49"/>
        <v>5.2782999999999998</v>
      </c>
    </row>
    <row r="255" spans="1:16" x14ac:dyDescent="0.25">
      <c r="A255" s="42">
        <f t="shared" si="42"/>
        <v>88</v>
      </c>
      <c r="B255">
        <f t="shared" si="43"/>
        <v>6.3045999999999998</v>
      </c>
      <c r="D255" s="18">
        <f t="shared" si="50"/>
        <v>4.8963000000000001</v>
      </c>
      <c r="F255">
        <f t="shared" si="44"/>
        <v>5.4711999999999996</v>
      </c>
      <c r="H255" s="18">
        <f t="shared" si="45"/>
        <v>5.0879000000000003</v>
      </c>
      <c r="J255">
        <f t="shared" si="46"/>
        <v>5.8495999999999997</v>
      </c>
      <c r="L255" s="18">
        <f t="shared" si="47"/>
        <v>6.5746000000000002</v>
      </c>
      <c r="N255">
        <f t="shared" si="48"/>
        <v>5.5212400000000006</v>
      </c>
      <c r="P255" s="18">
        <f t="shared" si="49"/>
        <v>5.3822000000000001</v>
      </c>
    </row>
    <row r="256" spans="1:16" x14ac:dyDescent="0.25">
      <c r="A256" s="42">
        <f t="shared" si="42"/>
        <v>89</v>
      </c>
      <c r="B256">
        <f t="shared" si="43"/>
        <v>6.4253</v>
      </c>
      <c r="D256" s="18">
        <f t="shared" si="50"/>
        <v>4.9781500000000003</v>
      </c>
      <c r="F256">
        <f t="shared" si="44"/>
        <v>5.5888999999999998</v>
      </c>
      <c r="H256" s="18">
        <f t="shared" si="45"/>
        <v>5.1874500000000001</v>
      </c>
      <c r="J256">
        <f t="shared" si="46"/>
        <v>5.9497999999999998</v>
      </c>
      <c r="L256" s="18">
        <f t="shared" si="47"/>
        <v>6.7038000000000002</v>
      </c>
      <c r="N256">
        <f t="shared" si="48"/>
        <v>5.6207200000000004</v>
      </c>
      <c r="P256" s="18">
        <f t="shared" si="49"/>
        <v>5.4861000000000004</v>
      </c>
    </row>
    <row r="257" spans="1:17" x14ac:dyDescent="0.25">
      <c r="A257" s="42">
        <f t="shared" si="42"/>
        <v>90</v>
      </c>
      <c r="B257">
        <f t="shared" si="43"/>
        <v>6.5460000000000003</v>
      </c>
      <c r="D257" s="18">
        <f t="shared" si="50"/>
        <v>5.0600000000000005</v>
      </c>
      <c r="F257">
        <f t="shared" si="44"/>
        <v>5.7065999999999999</v>
      </c>
      <c r="H257" s="18">
        <f t="shared" si="45"/>
        <v>5.2869999999999999</v>
      </c>
      <c r="J257">
        <f t="shared" si="46"/>
        <v>6.05</v>
      </c>
      <c r="L257" s="18">
        <f t="shared" si="47"/>
        <v>6.8330000000000002</v>
      </c>
      <c r="N257">
        <f t="shared" si="48"/>
        <v>5.7202000000000002</v>
      </c>
      <c r="P257" s="18">
        <f t="shared" si="49"/>
        <v>5.5900000000000007</v>
      </c>
    </row>
    <row r="258" spans="1:17" x14ac:dyDescent="0.25">
      <c r="A258" s="42">
        <f t="shared" si="42"/>
        <v>91</v>
      </c>
      <c r="B258">
        <f>($C$216*($A258-50))+$C$217</f>
        <v>6.6666999999999996</v>
      </c>
      <c r="D258" s="18">
        <f t="shared" si="50"/>
        <v>5.1418499999999998</v>
      </c>
      <c r="F258">
        <f t="shared" si="44"/>
        <v>5.8243</v>
      </c>
      <c r="H258" s="18">
        <f t="shared" si="45"/>
        <v>5.3865499999999997</v>
      </c>
      <c r="J258">
        <f t="shared" si="46"/>
        <v>6.1501999999999999</v>
      </c>
      <c r="L258" s="18">
        <f t="shared" si="47"/>
        <v>6.9622000000000002</v>
      </c>
      <c r="N258">
        <f t="shared" si="48"/>
        <v>5.81968</v>
      </c>
      <c r="P258" s="18">
        <f t="shared" si="49"/>
        <v>5.6939000000000002</v>
      </c>
    </row>
    <row r="259" spans="1:17" x14ac:dyDescent="0.25">
      <c r="A259" s="42">
        <f t="shared" si="42"/>
        <v>92</v>
      </c>
      <c r="B259">
        <f t="shared" si="43"/>
        <v>6.7873999999999999</v>
      </c>
      <c r="D259" s="18">
        <f t="shared" si="50"/>
        <v>5.2237000000000009</v>
      </c>
      <c r="F259">
        <f t="shared" si="44"/>
        <v>5.9419999999999993</v>
      </c>
      <c r="H259" s="18">
        <f t="shared" si="45"/>
        <v>5.4860999999999995</v>
      </c>
      <c r="J259">
        <f t="shared" si="46"/>
        <v>6.2504</v>
      </c>
      <c r="L259" s="18">
        <f t="shared" si="47"/>
        <v>7.0914000000000001</v>
      </c>
      <c r="N259">
        <f t="shared" si="48"/>
        <v>5.9191599999999998</v>
      </c>
      <c r="P259" s="18">
        <f t="shared" si="49"/>
        <v>5.7978000000000005</v>
      </c>
    </row>
    <row r="260" spans="1:17" x14ac:dyDescent="0.25">
      <c r="A260" s="42">
        <f t="shared" si="42"/>
        <v>93</v>
      </c>
      <c r="B260">
        <f t="shared" si="43"/>
        <v>6.9081000000000001</v>
      </c>
      <c r="D260" s="18">
        <f t="shared" si="50"/>
        <v>5.3055500000000002</v>
      </c>
      <c r="F260" s="49">
        <f t="shared" si="44"/>
        <v>6.0596999999999994</v>
      </c>
      <c r="H260" s="18">
        <f t="shared" si="45"/>
        <v>5.5856499999999993</v>
      </c>
      <c r="J260">
        <f t="shared" si="46"/>
        <v>6.3506</v>
      </c>
      <c r="L260" s="18">
        <f t="shared" si="47"/>
        <v>7.2206000000000001</v>
      </c>
      <c r="N260">
        <f t="shared" si="48"/>
        <v>6.0186399999999995</v>
      </c>
      <c r="P260" s="18">
        <f t="shared" si="49"/>
        <v>5.9017000000000008</v>
      </c>
    </row>
    <row r="261" spans="1:17" x14ac:dyDescent="0.25">
      <c r="A261" s="42">
        <f t="shared" si="42"/>
        <v>94</v>
      </c>
      <c r="B261">
        <f t="shared" si="43"/>
        <v>7.0288000000000004</v>
      </c>
      <c r="D261" s="18">
        <f t="shared" si="50"/>
        <v>5.3874000000000004</v>
      </c>
      <c r="F261">
        <f t="shared" si="44"/>
        <v>6.1773999999999996</v>
      </c>
      <c r="H261" s="18">
        <f t="shared" si="45"/>
        <v>5.6852</v>
      </c>
      <c r="J261">
        <f t="shared" si="46"/>
        <v>6.4508000000000001</v>
      </c>
      <c r="L261" s="18">
        <f t="shared" si="47"/>
        <v>7.3498000000000001</v>
      </c>
      <c r="N261">
        <f t="shared" si="48"/>
        <v>6.1181199999999993</v>
      </c>
      <c r="P261" s="18">
        <f t="shared" si="49"/>
        <v>6.0056000000000003</v>
      </c>
    </row>
    <row r="262" spans="1:17" x14ac:dyDescent="0.25">
      <c r="A262" s="42">
        <f t="shared" si="42"/>
        <v>95</v>
      </c>
      <c r="B262">
        <f t="shared" si="43"/>
        <v>7.1494999999999997</v>
      </c>
      <c r="D262" s="18">
        <f t="shared" si="50"/>
        <v>5.4692500000000006</v>
      </c>
      <c r="F262">
        <f t="shared" si="44"/>
        <v>6.2950999999999997</v>
      </c>
      <c r="H262" s="18">
        <f t="shared" si="45"/>
        <v>5.7847499999999998</v>
      </c>
      <c r="J262">
        <f t="shared" si="46"/>
        <v>6.5509999999999993</v>
      </c>
      <c r="L262" s="18">
        <f t="shared" si="47"/>
        <v>7.4790000000000001</v>
      </c>
      <c r="N262">
        <f t="shared" si="48"/>
        <v>6.2176000000000009</v>
      </c>
      <c r="P262" s="18">
        <f t="shared" si="49"/>
        <v>6.1095000000000006</v>
      </c>
    </row>
    <row r="263" spans="1:17" x14ac:dyDescent="0.25">
      <c r="A263" s="42">
        <f t="shared" si="42"/>
        <v>96</v>
      </c>
      <c r="B263">
        <f t="shared" si="43"/>
        <v>7.2702</v>
      </c>
      <c r="D263" s="18">
        <f t="shared" si="50"/>
        <v>5.5510999999999999</v>
      </c>
      <c r="F263">
        <f t="shared" si="44"/>
        <v>6.4127999999999998</v>
      </c>
      <c r="H263" s="18">
        <f t="shared" si="45"/>
        <v>5.8842999999999996</v>
      </c>
      <c r="J263">
        <f t="shared" si="46"/>
        <v>6.6511999999999993</v>
      </c>
      <c r="L263" s="18">
        <f t="shared" si="47"/>
        <v>7.6082000000000001</v>
      </c>
      <c r="N263">
        <f t="shared" si="48"/>
        <v>6.3170800000000007</v>
      </c>
      <c r="P263" s="18">
        <f t="shared" si="49"/>
        <v>6.2134</v>
      </c>
    </row>
    <row r="264" spans="1:17" x14ac:dyDescent="0.25">
      <c r="A264" s="42">
        <f t="shared" si="42"/>
        <v>97</v>
      </c>
      <c r="B264">
        <f t="shared" si="43"/>
        <v>7.3909000000000002</v>
      </c>
      <c r="D264" s="18">
        <f t="shared" si="50"/>
        <v>5.6329500000000001</v>
      </c>
      <c r="F264">
        <f t="shared" si="44"/>
        <v>6.5305</v>
      </c>
      <c r="H264" s="18">
        <f t="shared" si="45"/>
        <v>5.9838499999999994</v>
      </c>
      <c r="J264">
        <f t="shared" si="46"/>
        <v>6.7513999999999994</v>
      </c>
      <c r="L264" s="18">
        <f t="shared" si="47"/>
        <v>7.7374000000000001</v>
      </c>
      <c r="N264">
        <f t="shared" si="48"/>
        <v>6.4165600000000005</v>
      </c>
      <c r="P264" s="18">
        <f t="shared" si="49"/>
        <v>6.3173000000000004</v>
      </c>
    </row>
    <row r="265" spans="1:17" x14ac:dyDescent="0.25">
      <c r="A265" s="42">
        <f t="shared" si="42"/>
        <v>98</v>
      </c>
      <c r="B265">
        <f t="shared" si="43"/>
        <v>7.5115999999999996</v>
      </c>
      <c r="D265" s="18">
        <f t="shared" si="50"/>
        <v>5.7148000000000003</v>
      </c>
      <c r="F265">
        <f t="shared" si="44"/>
        <v>6.6481999999999992</v>
      </c>
      <c r="H265" s="18">
        <f t="shared" si="45"/>
        <v>6.0833999999999993</v>
      </c>
      <c r="J265">
        <f t="shared" si="46"/>
        <v>6.8515999999999995</v>
      </c>
      <c r="L265" s="18">
        <f t="shared" si="47"/>
        <v>7.8666000000000009</v>
      </c>
      <c r="N265">
        <f t="shared" si="48"/>
        <v>6.5160400000000003</v>
      </c>
      <c r="P265" s="18">
        <f t="shared" si="49"/>
        <v>6.4212000000000007</v>
      </c>
    </row>
    <row r="266" spans="1:17" x14ac:dyDescent="0.25">
      <c r="A266" s="42">
        <f t="shared" si="42"/>
        <v>99</v>
      </c>
      <c r="B266">
        <f t="shared" si="43"/>
        <v>7.6322999999999999</v>
      </c>
      <c r="D266" s="18">
        <f t="shared" si="50"/>
        <v>5.7966499999999996</v>
      </c>
      <c r="F266">
        <f t="shared" si="44"/>
        <v>6.7658999999999994</v>
      </c>
      <c r="H266" s="18">
        <f t="shared" si="45"/>
        <v>6.1829499999999999</v>
      </c>
      <c r="J266">
        <f t="shared" si="46"/>
        <v>6.9517999999999995</v>
      </c>
      <c r="L266" s="18">
        <f t="shared" si="47"/>
        <v>7.9958000000000009</v>
      </c>
      <c r="N266">
        <f t="shared" si="48"/>
        <v>6.6155200000000001</v>
      </c>
      <c r="P266" s="18">
        <f t="shared" si="49"/>
        <v>6.5251000000000001</v>
      </c>
    </row>
    <row r="267" spans="1:17" x14ac:dyDescent="0.25">
      <c r="A267" s="42">
        <f t="shared" si="42"/>
        <v>100</v>
      </c>
      <c r="B267">
        <f t="shared" si="43"/>
        <v>7.7530000000000001</v>
      </c>
      <c r="D267" s="49">
        <f t="shared" si="50"/>
        <v>5.8785000000000007</v>
      </c>
      <c r="F267">
        <f t="shared" si="44"/>
        <v>6.8835999999999995</v>
      </c>
      <c r="H267" s="18">
        <f t="shared" si="45"/>
        <v>6.2824999999999998</v>
      </c>
      <c r="J267">
        <f t="shared" si="46"/>
        <v>7.0519999999999996</v>
      </c>
      <c r="L267" s="18">
        <f t="shared" si="47"/>
        <v>8.125</v>
      </c>
      <c r="N267">
        <f t="shared" si="48"/>
        <v>6.7149999999999999</v>
      </c>
      <c r="P267" s="18">
        <f t="shared" si="49"/>
        <v>6.6290000000000004</v>
      </c>
    </row>
    <row r="268" spans="1:17" x14ac:dyDescent="0.25">
      <c r="B268" s="41" t="s">
        <v>19</v>
      </c>
      <c r="C268" s="20" t="s">
        <v>133</v>
      </c>
      <c r="D268" s="27" t="s">
        <v>19</v>
      </c>
      <c r="E268" s="28" t="s">
        <v>133</v>
      </c>
      <c r="F268" s="19" t="s">
        <v>19</v>
      </c>
      <c r="G268" s="20" t="s">
        <v>133</v>
      </c>
      <c r="H268" s="27" t="s">
        <v>19</v>
      </c>
      <c r="I268" s="28" t="s">
        <v>133</v>
      </c>
      <c r="J268" s="19" t="s">
        <v>19</v>
      </c>
      <c r="K268" s="20" t="s">
        <v>133</v>
      </c>
      <c r="L268" s="27" t="s">
        <v>19</v>
      </c>
      <c r="M268" s="28" t="s">
        <v>133</v>
      </c>
      <c r="N268" s="19" t="s">
        <v>19</v>
      </c>
      <c r="O268" s="20" t="s">
        <v>133</v>
      </c>
      <c r="P268" s="27" t="s">
        <v>19</v>
      </c>
      <c r="Q268" s="28" t="s">
        <v>133</v>
      </c>
    </row>
    <row r="269" spans="1:17" x14ac:dyDescent="0.25">
      <c r="B269" s="39" t="s">
        <v>134</v>
      </c>
      <c r="C269" s="22">
        <v>0.12470000000000001</v>
      </c>
      <c r="D269" s="29" t="s">
        <v>134</v>
      </c>
      <c r="E269" s="18">
        <v>0.15679999999999999</v>
      </c>
      <c r="F269" s="21" t="s">
        <v>134</v>
      </c>
      <c r="G269">
        <v>0.1033</v>
      </c>
      <c r="H269" s="29" t="s">
        <v>134</v>
      </c>
      <c r="I269" s="17">
        <v>0.10730000000000001</v>
      </c>
      <c r="J269" s="21" t="s">
        <v>134</v>
      </c>
      <c r="K269" s="22">
        <v>0.13439999999999999</v>
      </c>
      <c r="L269" s="29" t="s">
        <v>134</v>
      </c>
      <c r="M269" s="17">
        <v>0.14580000000000001</v>
      </c>
      <c r="N269" s="21" t="s">
        <v>134</v>
      </c>
      <c r="O269" s="22">
        <v>0.1162</v>
      </c>
      <c r="P269" s="29" t="s">
        <v>134</v>
      </c>
      <c r="Q269" s="17">
        <v>0.10489999999999999</v>
      </c>
    </row>
    <row r="270" spans="1:17" x14ac:dyDescent="0.25">
      <c r="B270" s="40" t="s">
        <v>135</v>
      </c>
      <c r="C270" s="24">
        <v>1.804</v>
      </c>
      <c r="D270" s="30" t="s">
        <v>135</v>
      </c>
      <c r="E270" s="25">
        <v>1.1990000000000001</v>
      </c>
      <c r="F270" s="23" t="s">
        <v>135</v>
      </c>
      <c r="G270" s="24">
        <v>1.4990000000000001</v>
      </c>
      <c r="H270" s="30" t="s">
        <v>135</v>
      </c>
      <c r="I270" s="25">
        <v>0.9546</v>
      </c>
      <c r="J270" s="23" t="s">
        <v>135</v>
      </c>
      <c r="K270" s="24">
        <v>2.2799999999999998</v>
      </c>
      <c r="L270" s="30" t="s">
        <v>135</v>
      </c>
      <c r="M270" s="25">
        <v>2.1920000000000002</v>
      </c>
      <c r="N270" s="23" t="s">
        <v>135</v>
      </c>
      <c r="O270" s="24">
        <v>1.7390000000000001</v>
      </c>
      <c r="P270" s="30" t="s">
        <v>135</v>
      </c>
      <c r="Q270" s="25">
        <v>2.2829999999999999</v>
      </c>
    </row>
    <row r="271" spans="1:17" x14ac:dyDescent="0.25">
      <c r="A271" s="42">
        <f>A267+1</f>
        <v>101</v>
      </c>
      <c r="B271">
        <f>($C$269*($A271-100))+$C$270</f>
        <v>1.9287000000000001</v>
      </c>
      <c r="D271" s="18">
        <f>($E$269*($A271-100))+$E$270</f>
        <v>1.3558000000000001</v>
      </c>
      <c r="F271">
        <f>($G$269*($A271-100))+$G$270</f>
        <v>1.6023000000000001</v>
      </c>
      <c r="H271" s="18">
        <f>($I$269*($A271-100))+$I$270</f>
        <v>1.0619000000000001</v>
      </c>
      <c r="J271">
        <f>($K$269*($A271-100))+$K$270</f>
        <v>2.4143999999999997</v>
      </c>
      <c r="L271" s="18">
        <f>($M$269*($A271-100))+$M$270</f>
        <v>2.3378000000000001</v>
      </c>
      <c r="N271">
        <f>($O$269*($A271-100))+$O$270</f>
        <v>1.8552000000000002</v>
      </c>
      <c r="P271" s="18">
        <f>($Q$269*($A271-100))+$Q$270</f>
        <v>2.3879000000000001</v>
      </c>
    </row>
    <row r="272" spans="1:17" x14ac:dyDescent="0.25">
      <c r="A272" s="42">
        <f t="shared" ref="A272:A320" si="51">A271+1</f>
        <v>102</v>
      </c>
      <c r="B272">
        <f t="shared" ref="B272:B320" si="52">($C$269*($A272-100))+$C$270</f>
        <v>2.0533999999999999</v>
      </c>
      <c r="D272" s="18">
        <f t="shared" ref="D272:D320" si="53">($E$269*($A272-100))+$E$270</f>
        <v>1.5125999999999999</v>
      </c>
      <c r="F272">
        <f t="shared" ref="F272:F320" si="54">($G$269*($A272-100))+$G$270</f>
        <v>1.7056</v>
      </c>
      <c r="H272" s="18">
        <f t="shared" ref="H272:H320" si="55">($I$269*($A272-100))+$I$270</f>
        <v>1.1692</v>
      </c>
      <c r="J272">
        <f t="shared" ref="J272:J320" si="56">($K$269*($A272-100))+$K$270</f>
        <v>2.5488</v>
      </c>
      <c r="L272" s="18">
        <f t="shared" ref="L272:L320" si="57">($M$269*($A272-100))+$M$270</f>
        <v>2.4836</v>
      </c>
      <c r="N272">
        <f t="shared" ref="N272:N320" si="58">($O$269*($A272-100))+$O$270</f>
        <v>1.9714</v>
      </c>
      <c r="P272" s="18">
        <f t="shared" ref="P272:P320" si="59">($Q$269*($A272-100))+$Q$270</f>
        <v>2.4927999999999999</v>
      </c>
    </row>
    <row r="273" spans="1:16" x14ac:dyDescent="0.25">
      <c r="A273" s="42">
        <f t="shared" si="51"/>
        <v>103</v>
      </c>
      <c r="B273">
        <f t="shared" si="52"/>
        <v>2.1781000000000001</v>
      </c>
      <c r="D273" s="18">
        <f t="shared" si="53"/>
        <v>1.6694</v>
      </c>
      <c r="F273">
        <f t="shared" si="54"/>
        <v>1.8089000000000002</v>
      </c>
      <c r="H273" s="18">
        <f t="shared" si="55"/>
        <v>1.2765</v>
      </c>
      <c r="J273">
        <f t="shared" si="56"/>
        <v>2.6831999999999998</v>
      </c>
      <c r="L273" s="18">
        <f t="shared" si="57"/>
        <v>2.6294000000000004</v>
      </c>
      <c r="N273">
        <f t="shared" si="58"/>
        <v>2.0876000000000001</v>
      </c>
      <c r="P273" s="18">
        <f t="shared" si="59"/>
        <v>2.5976999999999997</v>
      </c>
    </row>
    <row r="274" spans="1:16" x14ac:dyDescent="0.25">
      <c r="A274" s="42">
        <f t="shared" si="51"/>
        <v>104</v>
      </c>
      <c r="B274">
        <f t="shared" si="52"/>
        <v>2.3028</v>
      </c>
      <c r="D274" s="18">
        <f t="shared" si="53"/>
        <v>1.8262</v>
      </c>
      <c r="F274">
        <f t="shared" si="54"/>
        <v>1.9122000000000001</v>
      </c>
      <c r="H274" s="18">
        <f t="shared" si="55"/>
        <v>1.3837999999999999</v>
      </c>
      <c r="J274">
        <f t="shared" si="56"/>
        <v>2.8175999999999997</v>
      </c>
      <c r="L274" s="18">
        <f t="shared" si="57"/>
        <v>2.7752000000000003</v>
      </c>
      <c r="N274">
        <f t="shared" si="58"/>
        <v>2.2038000000000002</v>
      </c>
      <c r="P274" s="18">
        <f t="shared" si="59"/>
        <v>2.7025999999999999</v>
      </c>
    </row>
    <row r="275" spans="1:16" x14ac:dyDescent="0.25">
      <c r="A275" s="42">
        <f t="shared" si="51"/>
        <v>105</v>
      </c>
      <c r="B275">
        <f t="shared" si="52"/>
        <v>2.4275000000000002</v>
      </c>
      <c r="D275" s="18">
        <f t="shared" si="53"/>
        <v>1.9830000000000001</v>
      </c>
      <c r="F275">
        <f t="shared" si="54"/>
        <v>2.0155000000000003</v>
      </c>
      <c r="H275" s="18">
        <f t="shared" si="55"/>
        <v>1.4910999999999999</v>
      </c>
      <c r="J275">
        <f t="shared" si="56"/>
        <v>2.952</v>
      </c>
      <c r="L275" s="18">
        <f t="shared" si="57"/>
        <v>2.9210000000000003</v>
      </c>
      <c r="N275">
        <f t="shared" si="58"/>
        <v>2.3200000000000003</v>
      </c>
      <c r="P275" s="18">
        <f t="shared" si="59"/>
        <v>2.8075000000000001</v>
      </c>
    </row>
    <row r="276" spans="1:16" x14ac:dyDescent="0.25">
      <c r="A276" s="42">
        <f t="shared" si="51"/>
        <v>106</v>
      </c>
      <c r="B276">
        <f t="shared" si="52"/>
        <v>2.5522</v>
      </c>
      <c r="D276" s="18">
        <f t="shared" si="53"/>
        <v>2.1398000000000001</v>
      </c>
      <c r="F276">
        <f t="shared" si="54"/>
        <v>2.1188000000000002</v>
      </c>
      <c r="H276" s="18">
        <f t="shared" si="55"/>
        <v>1.5984</v>
      </c>
      <c r="J276">
        <f t="shared" si="56"/>
        <v>3.0863999999999998</v>
      </c>
      <c r="L276" s="18">
        <f t="shared" si="57"/>
        <v>3.0668000000000002</v>
      </c>
      <c r="N276">
        <f t="shared" si="58"/>
        <v>2.4362000000000004</v>
      </c>
      <c r="P276" s="18">
        <f t="shared" si="59"/>
        <v>2.9123999999999999</v>
      </c>
    </row>
    <row r="277" spans="1:16" x14ac:dyDescent="0.25">
      <c r="A277" s="42">
        <f t="shared" si="51"/>
        <v>107</v>
      </c>
      <c r="B277">
        <f t="shared" si="52"/>
        <v>2.6768999999999998</v>
      </c>
      <c r="D277" s="18">
        <f t="shared" si="53"/>
        <v>2.2965999999999998</v>
      </c>
      <c r="F277">
        <f t="shared" si="54"/>
        <v>2.2221000000000002</v>
      </c>
      <c r="H277" s="18">
        <f t="shared" si="55"/>
        <v>1.7057000000000002</v>
      </c>
      <c r="J277">
        <f t="shared" si="56"/>
        <v>3.2207999999999997</v>
      </c>
      <c r="L277" s="18">
        <f t="shared" si="57"/>
        <v>3.2126000000000001</v>
      </c>
      <c r="N277">
        <f t="shared" si="58"/>
        <v>2.5524</v>
      </c>
      <c r="P277" s="18">
        <f t="shared" si="59"/>
        <v>3.0172999999999996</v>
      </c>
    </row>
    <row r="278" spans="1:16" x14ac:dyDescent="0.25">
      <c r="A278" s="42">
        <f t="shared" si="51"/>
        <v>108</v>
      </c>
      <c r="B278">
        <f>($C$269*($A278-100))+$C$270</f>
        <v>2.8016000000000001</v>
      </c>
      <c r="D278" s="18">
        <f t="shared" si="53"/>
        <v>2.4534000000000002</v>
      </c>
      <c r="F278">
        <f t="shared" si="54"/>
        <v>2.3254000000000001</v>
      </c>
      <c r="H278" s="18">
        <f t="shared" si="55"/>
        <v>1.8130000000000002</v>
      </c>
      <c r="J278">
        <f t="shared" si="56"/>
        <v>3.3552</v>
      </c>
      <c r="L278" s="18">
        <f t="shared" si="57"/>
        <v>3.3584000000000005</v>
      </c>
      <c r="N278">
        <f t="shared" si="58"/>
        <v>2.6686000000000001</v>
      </c>
      <c r="P278" s="18">
        <f t="shared" si="59"/>
        <v>3.1221999999999999</v>
      </c>
    </row>
    <row r="279" spans="1:16" x14ac:dyDescent="0.25">
      <c r="A279" s="42">
        <f t="shared" si="51"/>
        <v>109</v>
      </c>
      <c r="B279">
        <f t="shared" si="52"/>
        <v>2.9263000000000003</v>
      </c>
      <c r="D279" s="18">
        <f t="shared" si="53"/>
        <v>2.6101999999999999</v>
      </c>
      <c r="F279">
        <f t="shared" si="54"/>
        <v>2.4287000000000001</v>
      </c>
      <c r="H279" s="18">
        <f t="shared" si="55"/>
        <v>1.9203000000000001</v>
      </c>
      <c r="J279">
        <f t="shared" si="56"/>
        <v>3.4895999999999998</v>
      </c>
      <c r="L279" s="18">
        <f t="shared" si="57"/>
        <v>3.5042</v>
      </c>
      <c r="N279">
        <f t="shared" si="58"/>
        <v>2.7848000000000002</v>
      </c>
      <c r="P279" s="18">
        <f t="shared" si="59"/>
        <v>3.2271000000000001</v>
      </c>
    </row>
    <row r="280" spans="1:16" x14ac:dyDescent="0.25">
      <c r="A280" s="42">
        <f t="shared" si="51"/>
        <v>110</v>
      </c>
      <c r="B280">
        <f t="shared" si="52"/>
        <v>3.0510000000000002</v>
      </c>
      <c r="D280" s="18">
        <f t="shared" si="53"/>
        <v>2.7670000000000003</v>
      </c>
      <c r="F280">
        <f t="shared" si="54"/>
        <v>2.532</v>
      </c>
      <c r="H280" s="18">
        <f t="shared" si="55"/>
        <v>2.0276000000000001</v>
      </c>
      <c r="J280">
        <f t="shared" si="56"/>
        <v>3.6239999999999997</v>
      </c>
      <c r="L280" s="18">
        <f t="shared" si="57"/>
        <v>3.6500000000000004</v>
      </c>
      <c r="N280">
        <f t="shared" si="58"/>
        <v>2.9009999999999998</v>
      </c>
      <c r="P280" s="18">
        <f t="shared" si="59"/>
        <v>3.3319999999999999</v>
      </c>
    </row>
    <row r="281" spans="1:16" x14ac:dyDescent="0.25">
      <c r="A281" s="42">
        <f t="shared" si="51"/>
        <v>111</v>
      </c>
      <c r="B281">
        <f t="shared" si="52"/>
        <v>3.1757</v>
      </c>
      <c r="D281" s="18">
        <f t="shared" si="53"/>
        <v>2.9238</v>
      </c>
      <c r="F281">
        <f t="shared" si="54"/>
        <v>2.6353</v>
      </c>
      <c r="H281" s="18">
        <f t="shared" si="55"/>
        <v>2.1349</v>
      </c>
      <c r="J281">
        <f t="shared" si="56"/>
        <v>3.7584</v>
      </c>
      <c r="L281" s="18">
        <f t="shared" si="57"/>
        <v>3.7958000000000003</v>
      </c>
      <c r="N281">
        <f t="shared" si="58"/>
        <v>3.0171999999999999</v>
      </c>
      <c r="P281" s="18">
        <f t="shared" si="59"/>
        <v>3.4368999999999996</v>
      </c>
    </row>
    <row r="282" spans="1:16" x14ac:dyDescent="0.25">
      <c r="A282" s="42">
        <f t="shared" si="51"/>
        <v>112</v>
      </c>
      <c r="B282">
        <f t="shared" si="52"/>
        <v>3.3003999999999998</v>
      </c>
      <c r="D282" s="18">
        <f t="shared" si="53"/>
        <v>3.0806</v>
      </c>
      <c r="F282">
        <f t="shared" si="54"/>
        <v>2.7385999999999999</v>
      </c>
      <c r="H282" s="18">
        <f t="shared" si="55"/>
        <v>2.2422</v>
      </c>
      <c r="J282">
        <f t="shared" si="56"/>
        <v>3.8927999999999998</v>
      </c>
      <c r="L282" s="18">
        <f t="shared" si="57"/>
        <v>3.9416000000000002</v>
      </c>
      <c r="N282">
        <f t="shared" si="58"/>
        <v>3.1334</v>
      </c>
      <c r="P282" s="18">
        <f t="shared" si="59"/>
        <v>3.5417999999999998</v>
      </c>
    </row>
    <row r="283" spans="1:16" x14ac:dyDescent="0.25">
      <c r="A283" s="42">
        <f t="shared" si="51"/>
        <v>113</v>
      </c>
      <c r="B283">
        <f t="shared" si="52"/>
        <v>3.4251</v>
      </c>
      <c r="D283" s="18">
        <f t="shared" si="53"/>
        <v>3.2374000000000001</v>
      </c>
      <c r="F283">
        <f t="shared" si="54"/>
        <v>2.8418999999999999</v>
      </c>
      <c r="H283" s="18">
        <f t="shared" si="55"/>
        <v>2.3494999999999999</v>
      </c>
      <c r="J283">
        <f t="shared" si="56"/>
        <v>4.0271999999999997</v>
      </c>
      <c r="L283" s="18">
        <f t="shared" si="57"/>
        <v>4.0874000000000006</v>
      </c>
      <c r="N283">
        <f t="shared" si="58"/>
        <v>3.2496</v>
      </c>
      <c r="P283" s="18">
        <f t="shared" si="59"/>
        <v>3.6467000000000001</v>
      </c>
    </row>
    <row r="284" spans="1:16" x14ac:dyDescent="0.25">
      <c r="A284" s="42">
        <f t="shared" si="51"/>
        <v>114</v>
      </c>
      <c r="B284">
        <f t="shared" si="52"/>
        <v>3.5498000000000003</v>
      </c>
      <c r="D284" s="18">
        <f t="shared" si="53"/>
        <v>3.3941999999999997</v>
      </c>
      <c r="F284">
        <f t="shared" si="54"/>
        <v>2.9452000000000003</v>
      </c>
      <c r="H284" s="18">
        <f t="shared" si="55"/>
        <v>2.4568000000000003</v>
      </c>
      <c r="J284">
        <f t="shared" si="56"/>
        <v>4.1616</v>
      </c>
      <c r="L284" s="18">
        <f t="shared" si="57"/>
        <v>4.2332000000000001</v>
      </c>
      <c r="N284">
        <f t="shared" si="58"/>
        <v>3.3658000000000001</v>
      </c>
      <c r="P284" s="18">
        <f t="shared" si="59"/>
        <v>3.7515999999999998</v>
      </c>
    </row>
    <row r="285" spans="1:16" x14ac:dyDescent="0.25">
      <c r="A285" s="42">
        <f t="shared" si="51"/>
        <v>115</v>
      </c>
      <c r="B285">
        <f t="shared" si="52"/>
        <v>3.6745000000000001</v>
      </c>
      <c r="D285" s="18">
        <f t="shared" si="53"/>
        <v>3.5510000000000002</v>
      </c>
      <c r="F285">
        <f t="shared" si="54"/>
        <v>3.0485000000000002</v>
      </c>
      <c r="H285" s="18">
        <f t="shared" si="55"/>
        <v>2.5641000000000003</v>
      </c>
      <c r="J285">
        <f t="shared" si="56"/>
        <v>4.2959999999999994</v>
      </c>
      <c r="L285" s="18">
        <f t="shared" si="57"/>
        <v>4.3790000000000004</v>
      </c>
      <c r="N285">
        <f t="shared" si="58"/>
        <v>3.4820000000000002</v>
      </c>
      <c r="P285" s="18">
        <f t="shared" si="59"/>
        <v>3.8564999999999996</v>
      </c>
    </row>
    <row r="286" spans="1:16" x14ac:dyDescent="0.25">
      <c r="A286" s="42">
        <f t="shared" si="51"/>
        <v>116</v>
      </c>
      <c r="B286">
        <f t="shared" si="52"/>
        <v>3.7991999999999999</v>
      </c>
      <c r="D286" s="18">
        <f t="shared" si="53"/>
        <v>3.7077999999999998</v>
      </c>
      <c r="F286">
        <f t="shared" si="54"/>
        <v>3.1518000000000002</v>
      </c>
      <c r="H286" s="18">
        <f t="shared" si="55"/>
        <v>2.6714000000000002</v>
      </c>
      <c r="J286">
        <f t="shared" si="56"/>
        <v>4.4303999999999997</v>
      </c>
      <c r="L286" s="18">
        <f t="shared" si="57"/>
        <v>4.5248000000000008</v>
      </c>
      <c r="N286">
        <f t="shared" si="58"/>
        <v>3.5982000000000003</v>
      </c>
      <c r="P286" s="18">
        <f t="shared" si="59"/>
        <v>3.9613999999999998</v>
      </c>
    </row>
    <row r="287" spans="1:16" x14ac:dyDescent="0.25">
      <c r="A287" s="42">
        <f t="shared" si="51"/>
        <v>117</v>
      </c>
      <c r="B287">
        <f t="shared" si="52"/>
        <v>3.9238999999999997</v>
      </c>
      <c r="D287" s="18">
        <f t="shared" si="53"/>
        <v>3.8646000000000003</v>
      </c>
      <c r="F287">
        <f t="shared" si="54"/>
        <v>3.2551000000000001</v>
      </c>
      <c r="H287" s="18">
        <f t="shared" si="55"/>
        <v>2.7787000000000002</v>
      </c>
      <c r="J287">
        <f t="shared" si="56"/>
        <v>4.5648</v>
      </c>
      <c r="L287" s="18">
        <f t="shared" si="57"/>
        <v>4.6706000000000003</v>
      </c>
      <c r="N287">
        <f t="shared" si="58"/>
        <v>3.7144000000000004</v>
      </c>
      <c r="P287" s="18">
        <f t="shared" si="59"/>
        <v>4.0663</v>
      </c>
    </row>
    <row r="288" spans="1:16" x14ac:dyDescent="0.25">
      <c r="A288" s="42">
        <f t="shared" si="51"/>
        <v>118</v>
      </c>
      <c r="B288">
        <f t="shared" si="52"/>
        <v>4.0486000000000004</v>
      </c>
      <c r="D288" s="18">
        <f t="shared" si="53"/>
        <v>4.0213999999999999</v>
      </c>
      <c r="F288">
        <f t="shared" si="54"/>
        <v>3.3584000000000001</v>
      </c>
      <c r="H288" s="18">
        <f t="shared" si="55"/>
        <v>2.8860000000000001</v>
      </c>
      <c r="J288">
        <f t="shared" si="56"/>
        <v>4.6991999999999994</v>
      </c>
      <c r="L288" s="18">
        <f t="shared" si="57"/>
        <v>4.8163999999999998</v>
      </c>
      <c r="N288">
        <f t="shared" si="58"/>
        <v>3.8306000000000004</v>
      </c>
      <c r="P288" s="18">
        <f t="shared" si="59"/>
        <v>4.1711999999999998</v>
      </c>
    </row>
    <row r="289" spans="1:16" x14ac:dyDescent="0.25">
      <c r="A289" s="42">
        <f t="shared" si="51"/>
        <v>119</v>
      </c>
      <c r="B289">
        <f t="shared" si="52"/>
        <v>4.1733000000000002</v>
      </c>
      <c r="D289" s="18">
        <f t="shared" si="53"/>
        <v>4.1782000000000004</v>
      </c>
      <c r="F289">
        <f t="shared" si="54"/>
        <v>3.4617000000000004</v>
      </c>
      <c r="H289" s="18">
        <f t="shared" si="55"/>
        <v>2.9933000000000001</v>
      </c>
      <c r="J289">
        <f t="shared" si="56"/>
        <v>4.8335999999999997</v>
      </c>
      <c r="L289" s="18">
        <f t="shared" si="57"/>
        <v>4.9622000000000011</v>
      </c>
      <c r="N289">
        <f t="shared" si="58"/>
        <v>3.9467999999999996</v>
      </c>
      <c r="P289" s="18">
        <f t="shared" si="59"/>
        <v>4.2760999999999996</v>
      </c>
    </row>
    <row r="290" spans="1:16" x14ac:dyDescent="0.25">
      <c r="A290" s="42">
        <f t="shared" si="51"/>
        <v>120</v>
      </c>
      <c r="B290">
        <f t="shared" si="52"/>
        <v>4.298</v>
      </c>
      <c r="D290" s="18">
        <f t="shared" si="53"/>
        <v>4.335</v>
      </c>
      <c r="F290">
        <f t="shared" si="54"/>
        <v>3.5649999999999999</v>
      </c>
      <c r="H290" s="18">
        <f t="shared" si="55"/>
        <v>3.1006</v>
      </c>
      <c r="J290">
        <f t="shared" si="56"/>
        <v>4.968</v>
      </c>
      <c r="L290" s="18">
        <f t="shared" si="57"/>
        <v>5.1080000000000005</v>
      </c>
      <c r="N290">
        <f t="shared" si="58"/>
        <v>4.0629999999999997</v>
      </c>
      <c r="P290" s="18">
        <f t="shared" si="59"/>
        <v>4.3810000000000002</v>
      </c>
    </row>
    <row r="291" spans="1:16" x14ac:dyDescent="0.25">
      <c r="A291" s="42">
        <f t="shared" si="51"/>
        <v>121</v>
      </c>
      <c r="B291">
        <f t="shared" si="52"/>
        <v>4.4226999999999999</v>
      </c>
      <c r="D291" s="18">
        <f t="shared" si="53"/>
        <v>4.4917999999999996</v>
      </c>
      <c r="F291">
        <f t="shared" si="54"/>
        <v>3.6683000000000003</v>
      </c>
      <c r="H291" s="18">
        <f t="shared" si="55"/>
        <v>3.2079000000000004</v>
      </c>
      <c r="J291">
        <f t="shared" si="56"/>
        <v>5.1023999999999994</v>
      </c>
      <c r="L291" s="18">
        <f t="shared" si="57"/>
        <v>5.2538</v>
      </c>
      <c r="N291">
        <f t="shared" si="58"/>
        <v>4.1791999999999998</v>
      </c>
      <c r="P291" s="18">
        <f t="shared" si="59"/>
        <v>4.4858999999999991</v>
      </c>
    </row>
    <row r="292" spans="1:16" x14ac:dyDescent="0.25">
      <c r="A292" s="42">
        <f t="shared" si="51"/>
        <v>122</v>
      </c>
      <c r="B292">
        <f t="shared" si="52"/>
        <v>4.5474000000000006</v>
      </c>
      <c r="D292" s="18">
        <f t="shared" si="53"/>
        <v>4.6486000000000001</v>
      </c>
      <c r="F292">
        <f t="shared" si="54"/>
        <v>3.7716000000000003</v>
      </c>
      <c r="H292" s="18">
        <f t="shared" si="55"/>
        <v>3.3152000000000004</v>
      </c>
      <c r="J292">
        <f t="shared" si="56"/>
        <v>5.2367999999999997</v>
      </c>
      <c r="L292" s="18">
        <f t="shared" si="57"/>
        <v>5.3996000000000004</v>
      </c>
      <c r="N292">
        <f t="shared" si="58"/>
        <v>4.2953999999999999</v>
      </c>
      <c r="P292" s="18">
        <f t="shared" si="59"/>
        <v>4.5907999999999998</v>
      </c>
    </row>
    <row r="293" spans="1:16" x14ac:dyDescent="0.25">
      <c r="A293" s="42">
        <f t="shared" si="51"/>
        <v>123</v>
      </c>
      <c r="B293">
        <f t="shared" si="52"/>
        <v>4.6721000000000004</v>
      </c>
      <c r="D293" s="18">
        <f t="shared" si="53"/>
        <v>4.8053999999999997</v>
      </c>
      <c r="F293">
        <f t="shared" si="54"/>
        <v>3.8749000000000002</v>
      </c>
      <c r="H293" s="18">
        <f t="shared" si="55"/>
        <v>3.4225000000000003</v>
      </c>
      <c r="J293">
        <f t="shared" si="56"/>
        <v>5.3712</v>
      </c>
      <c r="L293" s="18">
        <f t="shared" si="57"/>
        <v>5.5454000000000008</v>
      </c>
      <c r="N293">
        <f t="shared" si="58"/>
        <v>4.4116</v>
      </c>
      <c r="P293" s="18">
        <f t="shared" si="59"/>
        <v>4.6957000000000004</v>
      </c>
    </row>
    <row r="294" spans="1:16" x14ac:dyDescent="0.25">
      <c r="A294" s="42">
        <f t="shared" si="51"/>
        <v>124</v>
      </c>
      <c r="B294">
        <f t="shared" si="52"/>
        <v>4.7968000000000002</v>
      </c>
      <c r="D294" s="18">
        <f t="shared" si="53"/>
        <v>4.9622000000000002</v>
      </c>
      <c r="F294">
        <f t="shared" si="54"/>
        <v>3.9782000000000002</v>
      </c>
      <c r="H294" s="18">
        <f t="shared" si="55"/>
        <v>3.5298000000000003</v>
      </c>
      <c r="J294">
        <f t="shared" si="56"/>
        <v>5.5055999999999994</v>
      </c>
      <c r="L294" s="18">
        <f t="shared" si="57"/>
        <v>5.6912000000000003</v>
      </c>
      <c r="N294">
        <f t="shared" si="58"/>
        <v>4.5278</v>
      </c>
      <c r="P294" s="18">
        <f t="shared" si="59"/>
        <v>4.8005999999999993</v>
      </c>
    </row>
    <row r="295" spans="1:16" x14ac:dyDescent="0.25">
      <c r="A295" s="42">
        <f t="shared" si="51"/>
        <v>125</v>
      </c>
      <c r="B295">
        <f t="shared" si="52"/>
        <v>4.9215</v>
      </c>
      <c r="D295" s="18">
        <f t="shared" si="53"/>
        <v>5.1189999999999998</v>
      </c>
      <c r="F295">
        <f t="shared" si="54"/>
        <v>4.0815000000000001</v>
      </c>
      <c r="H295" s="18">
        <f t="shared" si="55"/>
        <v>3.6371000000000002</v>
      </c>
      <c r="J295">
        <f t="shared" si="56"/>
        <v>5.64</v>
      </c>
      <c r="L295" s="18">
        <f t="shared" si="57"/>
        <v>5.8370000000000006</v>
      </c>
      <c r="N295">
        <f t="shared" si="58"/>
        <v>4.6440000000000001</v>
      </c>
      <c r="P295" s="18">
        <f t="shared" si="59"/>
        <v>4.9055</v>
      </c>
    </row>
    <row r="296" spans="1:16" x14ac:dyDescent="0.25">
      <c r="A296" s="42">
        <f t="shared" si="51"/>
        <v>126</v>
      </c>
      <c r="B296">
        <f t="shared" si="52"/>
        <v>5.0461999999999998</v>
      </c>
      <c r="D296" s="18">
        <f t="shared" si="53"/>
        <v>5.2757999999999994</v>
      </c>
      <c r="F296">
        <f t="shared" si="54"/>
        <v>4.1848000000000001</v>
      </c>
      <c r="H296" s="18">
        <f t="shared" si="55"/>
        <v>3.7444000000000002</v>
      </c>
      <c r="J296">
        <f t="shared" si="56"/>
        <v>5.7744</v>
      </c>
      <c r="L296" s="18">
        <f t="shared" si="57"/>
        <v>5.982800000000001</v>
      </c>
      <c r="N296">
        <f t="shared" si="58"/>
        <v>4.7602000000000002</v>
      </c>
      <c r="P296" s="18">
        <f t="shared" si="59"/>
        <v>5.0103999999999997</v>
      </c>
    </row>
    <row r="297" spans="1:16" x14ac:dyDescent="0.25">
      <c r="A297" s="42">
        <f t="shared" si="51"/>
        <v>127</v>
      </c>
      <c r="B297">
        <f t="shared" si="52"/>
        <v>5.1709000000000005</v>
      </c>
      <c r="D297" s="18">
        <f t="shared" si="53"/>
        <v>5.4325999999999999</v>
      </c>
      <c r="F297">
        <f t="shared" si="54"/>
        <v>4.2881</v>
      </c>
      <c r="H297" s="18">
        <f t="shared" si="55"/>
        <v>3.8517000000000001</v>
      </c>
      <c r="J297">
        <f t="shared" si="56"/>
        <v>5.9087999999999994</v>
      </c>
      <c r="L297" s="18">
        <f t="shared" si="57"/>
        <v>6.1286000000000005</v>
      </c>
      <c r="N297">
        <f t="shared" si="58"/>
        <v>4.8764000000000003</v>
      </c>
      <c r="P297" s="18">
        <f t="shared" si="59"/>
        <v>5.1152999999999995</v>
      </c>
    </row>
    <row r="298" spans="1:16" x14ac:dyDescent="0.25">
      <c r="A298" s="42">
        <f t="shared" si="51"/>
        <v>128</v>
      </c>
      <c r="B298">
        <f t="shared" si="52"/>
        <v>5.2956000000000003</v>
      </c>
      <c r="D298" s="18">
        <f t="shared" si="53"/>
        <v>5.5893999999999995</v>
      </c>
      <c r="F298">
        <f t="shared" si="54"/>
        <v>4.3914000000000009</v>
      </c>
      <c r="H298" s="18">
        <f t="shared" si="55"/>
        <v>3.9590000000000005</v>
      </c>
      <c r="J298">
        <f t="shared" si="56"/>
        <v>6.0431999999999997</v>
      </c>
      <c r="L298" s="18">
        <f t="shared" si="57"/>
        <v>6.2744000000000009</v>
      </c>
      <c r="N298">
        <f t="shared" si="58"/>
        <v>4.9926000000000004</v>
      </c>
      <c r="P298" s="18">
        <f t="shared" si="59"/>
        <v>5.2202000000000002</v>
      </c>
    </row>
    <row r="299" spans="1:16" x14ac:dyDescent="0.25">
      <c r="A299" s="42">
        <f t="shared" si="51"/>
        <v>129</v>
      </c>
      <c r="B299">
        <f t="shared" si="52"/>
        <v>5.4203000000000001</v>
      </c>
      <c r="D299" s="18">
        <f t="shared" si="53"/>
        <v>5.7462</v>
      </c>
      <c r="F299">
        <f t="shared" si="54"/>
        <v>4.4946999999999999</v>
      </c>
      <c r="H299" s="18">
        <f t="shared" si="55"/>
        <v>4.0663</v>
      </c>
      <c r="J299">
        <f t="shared" si="56"/>
        <v>6.1776</v>
      </c>
      <c r="L299" s="18">
        <f t="shared" si="57"/>
        <v>6.4202000000000004</v>
      </c>
      <c r="N299">
        <f t="shared" si="58"/>
        <v>5.1088000000000005</v>
      </c>
      <c r="P299" s="18">
        <f t="shared" si="59"/>
        <v>5.3250999999999991</v>
      </c>
    </row>
    <row r="300" spans="1:16" x14ac:dyDescent="0.25">
      <c r="A300" s="42">
        <f t="shared" si="51"/>
        <v>130</v>
      </c>
      <c r="B300">
        <f t="shared" si="52"/>
        <v>5.5449999999999999</v>
      </c>
      <c r="D300" s="18">
        <f t="shared" si="53"/>
        <v>5.9029999999999996</v>
      </c>
      <c r="F300">
        <f t="shared" si="54"/>
        <v>4.5980000000000008</v>
      </c>
      <c r="H300" s="18">
        <f t="shared" si="55"/>
        <v>4.1736000000000004</v>
      </c>
      <c r="J300">
        <f t="shared" si="56"/>
        <v>6.3119999999999994</v>
      </c>
      <c r="L300" s="18">
        <f t="shared" si="57"/>
        <v>6.5660000000000007</v>
      </c>
      <c r="N300">
        <f t="shared" si="58"/>
        <v>5.2249999999999996</v>
      </c>
      <c r="P300" s="18">
        <f t="shared" si="59"/>
        <v>5.43</v>
      </c>
    </row>
    <row r="301" spans="1:16" x14ac:dyDescent="0.25">
      <c r="A301" s="42">
        <f t="shared" si="51"/>
        <v>131</v>
      </c>
      <c r="B301">
        <f t="shared" si="52"/>
        <v>5.6697000000000006</v>
      </c>
      <c r="D301" s="18">
        <f t="shared" si="53"/>
        <v>6.0598000000000001</v>
      </c>
      <c r="F301">
        <f t="shared" si="54"/>
        <v>4.7012999999999998</v>
      </c>
      <c r="H301" s="18">
        <f t="shared" si="55"/>
        <v>4.2808999999999999</v>
      </c>
      <c r="J301">
        <f t="shared" si="56"/>
        <v>6.4463999999999988</v>
      </c>
      <c r="L301" s="18">
        <f t="shared" si="57"/>
        <v>6.7118000000000002</v>
      </c>
      <c r="N301">
        <f t="shared" si="58"/>
        <v>5.3411999999999997</v>
      </c>
      <c r="P301" s="18">
        <f t="shared" si="59"/>
        <v>5.5349000000000004</v>
      </c>
    </row>
    <row r="302" spans="1:16" x14ac:dyDescent="0.25">
      <c r="A302" s="42">
        <f t="shared" si="51"/>
        <v>132</v>
      </c>
      <c r="B302">
        <f t="shared" si="52"/>
        <v>5.7944000000000004</v>
      </c>
      <c r="D302" s="18">
        <f t="shared" si="53"/>
        <v>6.2165999999999997</v>
      </c>
      <c r="F302">
        <f t="shared" si="54"/>
        <v>4.8046000000000006</v>
      </c>
      <c r="H302" s="18">
        <f t="shared" si="55"/>
        <v>4.3882000000000003</v>
      </c>
      <c r="J302">
        <f t="shared" si="56"/>
        <v>6.5808</v>
      </c>
      <c r="L302" s="18">
        <f t="shared" si="57"/>
        <v>6.8576000000000006</v>
      </c>
      <c r="N302">
        <f t="shared" si="58"/>
        <v>5.4573999999999998</v>
      </c>
      <c r="P302" s="18">
        <f t="shared" si="59"/>
        <v>5.6397999999999993</v>
      </c>
    </row>
    <row r="303" spans="1:16" x14ac:dyDescent="0.25">
      <c r="A303" s="42">
        <f t="shared" si="51"/>
        <v>133</v>
      </c>
      <c r="B303">
        <f t="shared" si="52"/>
        <v>5.9191000000000003</v>
      </c>
      <c r="D303" s="18">
        <f t="shared" si="53"/>
        <v>6.3733999999999993</v>
      </c>
      <c r="F303">
        <f t="shared" si="54"/>
        <v>4.9078999999999997</v>
      </c>
      <c r="H303" s="18">
        <f t="shared" si="55"/>
        <v>4.4954999999999998</v>
      </c>
      <c r="J303">
        <f t="shared" si="56"/>
        <v>6.7151999999999994</v>
      </c>
      <c r="L303" s="18">
        <f t="shared" si="57"/>
        <v>7.003400000000001</v>
      </c>
      <c r="N303">
        <f t="shared" si="58"/>
        <v>5.5735999999999999</v>
      </c>
      <c r="P303" s="18">
        <f t="shared" si="59"/>
        <v>5.7446999999999999</v>
      </c>
    </row>
    <row r="304" spans="1:16" x14ac:dyDescent="0.25">
      <c r="A304" s="42">
        <f t="shared" si="51"/>
        <v>134</v>
      </c>
      <c r="B304">
        <f t="shared" si="52"/>
        <v>6.0438000000000001</v>
      </c>
      <c r="D304" s="18">
        <f t="shared" si="53"/>
        <v>6.5301999999999998</v>
      </c>
      <c r="F304">
        <f t="shared" si="54"/>
        <v>5.0112000000000005</v>
      </c>
      <c r="H304" s="18">
        <f t="shared" si="55"/>
        <v>4.6028000000000002</v>
      </c>
      <c r="J304">
        <f t="shared" si="56"/>
        <v>6.8495999999999988</v>
      </c>
      <c r="L304" s="18">
        <f t="shared" si="57"/>
        <v>7.1492000000000004</v>
      </c>
      <c r="N304">
        <f t="shared" si="58"/>
        <v>5.6898</v>
      </c>
      <c r="P304" s="18">
        <f t="shared" si="59"/>
        <v>5.8495999999999997</v>
      </c>
    </row>
    <row r="305" spans="1:16" x14ac:dyDescent="0.25">
      <c r="A305" s="42">
        <f t="shared" si="51"/>
        <v>135</v>
      </c>
      <c r="B305">
        <f t="shared" si="52"/>
        <v>6.1685000000000008</v>
      </c>
      <c r="D305" s="18">
        <f t="shared" si="53"/>
        <v>6.6869999999999994</v>
      </c>
      <c r="F305">
        <f t="shared" si="54"/>
        <v>5.1144999999999996</v>
      </c>
      <c r="H305" s="18">
        <f t="shared" si="55"/>
        <v>4.7100999999999997</v>
      </c>
      <c r="J305">
        <f t="shared" si="56"/>
        <v>6.984</v>
      </c>
      <c r="L305" s="18">
        <f t="shared" si="57"/>
        <v>7.2950000000000008</v>
      </c>
      <c r="N305">
        <f t="shared" si="58"/>
        <v>5.806</v>
      </c>
      <c r="P305" s="18">
        <f t="shared" si="59"/>
        <v>5.9544999999999995</v>
      </c>
    </row>
    <row r="306" spans="1:16" x14ac:dyDescent="0.25">
      <c r="A306" s="42">
        <f t="shared" si="51"/>
        <v>136</v>
      </c>
      <c r="B306">
        <f t="shared" si="52"/>
        <v>6.2932000000000006</v>
      </c>
      <c r="D306" s="18">
        <f t="shared" si="53"/>
        <v>6.8437999999999999</v>
      </c>
      <c r="F306">
        <f t="shared" si="54"/>
        <v>5.2178000000000004</v>
      </c>
      <c r="H306" s="18">
        <f t="shared" si="55"/>
        <v>4.8174000000000001</v>
      </c>
      <c r="J306">
        <f t="shared" si="56"/>
        <v>7.1183999999999994</v>
      </c>
      <c r="L306" s="18">
        <f t="shared" si="57"/>
        <v>7.4408000000000003</v>
      </c>
      <c r="N306">
        <f t="shared" si="58"/>
        <v>5.9222000000000001</v>
      </c>
      <c r="P306" s="18">
        <f t="shared" si="59"/>
        <v>6.0594000000000001</v>
      </c>
    </row>
    <row r="307" spans="1:16" x14ac:dyDescent="0.25">
      <c r="A307" s="42">
        <f t="shared" si="51"/>
        <v>137</v>
      </c>
      <c r="B307">
        <f t="shared" si="52"/>
        <v>6.4179000000000004</v>
      </c>
      <c r="D307" s="18">
        <f t="shared" si="53"/>
        <v>7.0005999999999995</v>
      </c>
      <c r="F307">
        <f t="shared" si="54"/>
        <v>5.3211000000000004</v>
      </c>
      <c r="H307" s="18">
        <f t="shared" si="55"/>
        <v>4.9247000000000005</v>
      </c>
      <c r="J307">
        <f t="shared" si="56"/>
        <v>7.2527999999999988</v>
      </c>
      <c r="L307" s="18">
        <f t="shared" si="57"/>
        <v>7.5866000000000007</v>
      </c>
      <c r="N307">
        <f t="shared" si="58"/>
        <v>6.0384000000000002</v>
      </c>
      <c r="P307" s="18">
        <f t="shared" si="59"/>
        <v>6.164299999999999</v>
      </c>
    </row>
    <row r="308" spans="1:16" x14ac:dyDescent="0.25">
      <c r="A308" s="42">
        <f t="shared" si="51"/>
        <v>138</v>
      </c>
      <c r="B308">
        <f t="shared" si="52"/>
        <v>6.5426000000000002</v>
      </c>
      <c r="D308" s="18">
        <f t="shared" si="53"/>
        <v>7.1574</v>
      </c>
      <c r="F308">
        <f t="shared" si="54"/>
        <v>5.4244000000000003</v>
      </c>
      <c r="H308" s="18">
        <f t="shared" si="55"/>
        <v>5.032</v>
      </c>
      <c r="J308">
        <f t="shared" si="56"/>
        <v>7.3872</v>
      </c>
      <c r="L308" s="18">
        <f t="shared" si="57"/>
        <v>7.7324000000000011</v>
      </c>
      <c r="N308">
        <f t="shared" si="58"/>
        <v>6.1545999999999994</v>
      </c>
      <c r="P308" s="18">
        <f t="shared" si="59"/>
        <v>6.2691999999999997</v>
      </c>
    </row>
    <row r="309" spans="1:16" x14ac:dyDescent="0.25">
      <c r="A309" s="42">
        <f t="shared" si="51"/>
        <v>139</v>
      </c>
      <c r="B309">
        <f t="shared" si="52"/>
        <v>6.6673000000000009</v>
      </c>
      <c r="D309" s="18">
        <f t="shared" si="53"/>
        <v>7.3141999999999996</v>
      </c>
      <c r="F309">
        <f t="shared" si="54"/>
        <v>5.5276999999999994</v>
      </c>
      <c r="H309" s="18">
        <f t="shared" si="55"/>
        <v>5.1393000000000004</v>
      </c>
      <c r="J309">
        <f t="shared" si="56"/>
        <v>7.5215999999999994</v>
      </c>
      <c r="L309" s="18">
        <f t="shared" si="57"/>
        <v>7.8782000000000005</v>
      </c>
      <c r="N309">
        <f t="shared" si="58"/>
        <v>6.2707999999999995</v>
      </c>
      <c r="P309" s="18">
        <f t="shared" si="59"/>
        <v>6.3741000000000003</v>
      </c>
    </row>
    <row r="310" spans="1:16" x14ac:dyDescent="0.25">
      <c r="A310" s="42">
        <f t="shared" si="51"/>
        <v>140</v>
      </c>
      <c r="B310">
        <f t="shared" si="52"/>
        <v>6.7920000000000007</v>
      </c>
      <c r="D310" s="18">
        <f t="shared" si="53"/>
        <v>7.4710000000000001</v>
      </c>
      <c r="F310">
        <f t="shared" si="54"/>
        <v>5.6310000000000002</v>
      </c>
      <c r="H310" s="18">
        <f t="shared" si="55"/>
        <v>5.2465999999999999</v>
      </c>
      <c r="J310">
        <f t="shared" si="56"/>
        <v>7.6559999999999988</v>
      </c>
      <c r="L310" s="18">
        <f t="shared" si="57"/>
        <v>8.0240000000000009</v>
      </c>
      <c r="N310">
        <f t="shared" si="58"/>
        <v>6.3869999999999996</v>
      </c>
      <c r="P310" s="18">
        <f t="shared" si="59"/>
        <v>6.4789999999999992</v>
      </c>
    </row>
    <row r="311" spans="1:16" x14ac:dyDescent="0.25">
      <c r="A311" s="42">
        <f t="shared" si="51"/>
        <v>141</v>
      </c>
      <c r="B311">
        <f t="shared" si="52"/>
        <v>6.9167000000000005</v>
      </c>
      <c r="D311" s="18">
        <f t="shared" si="53"/>
        <v>7.6277999999999997</v>
      </c>
      <c r="F311">
        <f t="shared" si="54"/>
        <v>5.7343000000000011</v>
      </c>
      <c r="H311" s="18">
        <f t="shared" si="55"/>
        <v>5.3539000000000003</v>
      </c>
      <c r="J311">
        <f t="shared" si="56"/>
        <v>7.7904</v>
      </c>
      <c r="L311" s="18">
        <f t="shared" si="57"/>
        <v>8.1698000000000004</v>
      </c>
      <c r="N311">
        <f t="shared" si="58"/>
        <v>6.5031999999999996</v>
      </c>
      <c r="P311" s="18">
        <f t="shared" si="59"/>
        <v>6.5838999999999999</v>
      </c>
    </row>
    <row r="312" spans="1:16" x14ac:dyDescent="0.25">
      <c r="A312" s="42">
        <f t="shared" si="51"/>
        <v>142</v>
      </c>
      <c r="B312">
        <f t="shared" si="52"/>
        <v>7.0414000000000003</v>
      </c>
      <c r="D312" s="18">
        <f t="shared" si="53"/>
        <v>7.7845999999999993</v>
      </c>
      <c r="F312">
        <f t="shared" si="54"/>
        <v>5.8376000000000001</v>
      </c>
      <c r="H312" s="18">
        <f t="shared" si="55"/>
        <v>5.4612000000000007</v>
      </c>
      <c r="J312">
        <f t="shared" si="56"/>
        <v>7.9247999999999994</v>
      </c>
      <c r="L312" s="18">
        <f t="shared" si="57"/>
        <v>8.3155999999999999</v>
      </c>
      <c r="N312">
        <f t="shared" si="58"/>
        <v>6.6193999999999997</v>
      </c>
      <c r="P312" s="18">
        <f t="shared" si="59"/>
        <v>6.6887999999999987</v>
      </c>
    </row>
    <row r="313" spans="1:16" x14ac:dyDescent="0.25">
      <c r="A313" s="42">
        <f t="shared" si="51"/>
        <v>143</v>
      </c>
      <c r="B313">
        <f t="shared" si="52"/>
        <v>7.1661000000000001</v>
      </c>
      <c r="D313" s="18">
        <f t="shared" si="53"/>
        <v>7.9413999999999998</v>
      </c>
      <c r="F313">
        <f t="shared" si="54"/>
        <v>5.940900000000001</v>
      </c>
      <c r="H313" s="18">
        <f t="shared" si="55"/>
        <v>5.5685000000000002</v>
      </c>
      <c r="J313">
        <f t="shared" si="56"/>
        <v>8.0591999999999988</v>
      </c>
      <c r="L313" s="18">
        <f t="shared" si="57"/>
        <v>8.4614000000000011</v>
      </c>
      <c r="N313">
        <f t="shared" si="58"/>
        <v>6.7355999999999998</v>
      </c>
      <c r="P313" s="18">
        <f t="shared" si="59"/>
        <v>6.7936999999999994</v>
      </c>
    </row>
    <row r="314" spans="1:16" x14ac:dyDescent="0.25">
      <c r="A314" s="42">
        <f t="shared" si="51"/>
        <v>144</v>
      </c>
      <c r="B314">
        <f t="shared" si="52"/>
        <v>7.2908000000000008</v>
      </c>
      <c r="D314" s="18">
        <f t="shared" si="53"/>
        <v>8.0982000000000003</v>
      </c>
      <c r="F314">
        <f t="shared" si="54"/>
        <v>6.0442</v>
      </c>
      <c r="H314" s="18">
        <f t="shared" si="55"/>
        <v>5.6758000000000006</v>
      </c>
      <c r="J314">
        <f t="shared" si="56"/>
        <v>8.1936</v>
      </c>
      <c r="L314" s="18">
        <f t="shared" si="57"/>
        <v>8.6072000000000006</v>
      </c>
      <c r="N314">
        <f t="shared" si="58"/>
        <v>6.8517999999999999</v>
      </c>
      <c r="P314" s="18">
        <f t="shared" si="59"/>
        <v>6.8986000000000001</v>
      </c>
    </row>
    <row r="315" spans="1:16" x14ac:dyDescent="0.25">
      <c r="A315" s="42">
        <f t="shared" si="51"/>
        <v>145</v>
      </c>
      <c r="B315">
        <f t="shared" si="52"/>
        <v>7.4155000000000006</v>
      </c>
      <c r="D315" s="18">
        <f t="shared" si="53"/>
        <v>8.2550000000000008</v>
      </c>
      <c r="F315">
        <f t="shared" si="54"/>
        <v>6.1475000000000009</v>
      </c>
      <c r="H315" s="18">
        <f t="shared" si="55"/>
        <v>5.7831000000000001</v>
      </c>
      <c r="J315">
        <f t="shared" si="56"/>
        <v>8.3279999999999994</v>
      </c>
      <c r="L315" s="18">
        <f t="shared" si="57"/>
        <v>8.7530000000000001</v>
      </c>
      <c r="N315">
        <f t="shared" si="58"/>
        <v>6.968</v>
      </c>
      <c r="P315" s="18">
        <f t="shared" si="59"/>
        <v>7.0034999999999989</v>
      </c>
    </row>
    <row r="316" spans="1:16" x14ac:dyDescent="0.25">
      <c r="A316" s="42">
        <f t="shared" si="51"/>
        <v>146</v>
      </c>
      <c r="B316">
        <f t="shared" si="52"/>
        <v>7.5402000000000005</v>
      </c>
      <c r="D316" s="18">
        <f t="shared" si="53"/>
        <v>8.4117999999999995</v>
      </c>
      <c r="F316">
        <f t="shared" si="54"/>
        <v>6.2507999999999999</v>
      </c>
      <c r="H316" s="18">
        <f t="shared" si="55"/>
        <v>5.8904000000000005</v>
      </c>
      <c r="J316">
        <f t="shared" si="56"/>
        <v>8.4623999999999988</v>
      </c>
      <c r="L316" s="18">
        <f t="shared" si="57"/>
        <v>8.8988000000000014</v>
      </c>
      <c r="N316">
        <f t="shared" si="58"/>
        <v>7.0842000000000001</v>
      </c>
      <c r="P316" s="18">
        <f t="shared" si="59"/>
        <v>7.1083999999999996</v>
      </c>
    </row>
    <row r="317" spans="1:16" x14ac:dyDescent="0.25">
      <c r="A317" s="42">
        <f t="shared" si="51"/>
        <v>147</v>
      </c>
      <c r="B317">
        <f t="shared" si="52"/>
        <v>7.6649000000000003</v>
      </c>
      <c r="D317" s="18">
        <f t="shared" si="53"/>
        <v>8.5686</v>
      </c>
      <c r="F317">
        <f t="shared" si="54"/>
        <v>6.3541000000000007</v>
      </c>
      <c r="H317" s="18">
        <f t="shared" si="55"/>
        <v>5.9977</v>
      </c>
      <c r="J317">
        <f t="shared" si="56"/>
        <v>8.5968</v>
      </c>
      <c r="L317" s="18">
        <f t="shared" si="57"/>
        <v>9.0446000000000009</v>
      </c>
      <c r="N317">
        <f t="shared" si="58"/>
        <v>7.2004000000000001</v>
      </c>
      <c r="P317" s="18">
        <f t="shared" si="59"/>
        <v>7.2133000000000003</v>
      </c>
    </row>
    <row r="318" spans="1:16" x14ac:dyDescent="0.25">
      <c r="A318" s="42">
        <f t="shared" si="51"/>
        <v>148</v>
      </c>
      <c r="B318">
        <f t="shared" si="52"/>
        <v>7.7896000000000001</v>
      </c>
      <c r="D318" s="18">
        <f t="shared" si="53"/>
        <v>8.7254000000000005</v>
      </c>
      <c r="F318">
        <f t="shared" si="54"/>
        <v>6.4573999999999998</v>
      </c>
      <c r="H318" s="18">
        <f t="shared" si="55"/>
        <v>6.1050000000000004</v>
      </c>
      <c r="J318">
        <f t="shared" si="56"/>
        <v>8.7311999999999994</v>
      </c>
      <c r="L318" s="18">
        <f t="shared" si="57"/>
        <v>9.1904000000000003</v>
      </c>
      <c r="N318">
        <f t="shared" si="58"/>
        <v>7.3166000000000002</v>
      </c>
      <c r="P318" s="18">
        <f t="shared" si="59"/>
        <v>7.3181999999999992</v>
      </c>
    </row>
    <row r="319" spans="1:16" x14ac:dyDescent="0.25">
      <c r="A319" s="42">
        <f t="shared" si="51"/>
        <v>149</v>
      </c>
      <c r="B319">
        <f t="shared" si="52"/>
        <v>7.9143000000000008</v>
      </c>
      <c r="D319" s="18">
        <f t="shared" si="53"/>
        <v>8.8821999999999992</v>
      </c>
      <c r="F319">
        <f t="shared" si="54"/>
        <v>6.5607000000000006</v>
      </c>
      <c r="H319" s="18">
        <f t="shared" si="55"/>
        <v>6.2123000000000008</v>
      </c>
      <c r="J319">
        <f t="shared" si="56"/>
        <v>8.8655999999999988</v>
      </c>
      <c r="L319" s="18">
        <f t="shared" si="57"/>
        <v>9.3362000000000016</v>
      </c>
      <c r="N319">
        <f t="shared" si="58"/>
        <v>7.4327999999999994</v>
      </c>
      <c r="P319" s="18">
        <f t="shared" si="59"/>
        <v>7.4230999999999998</v>
      </c>
    </row>
    <row r="320" spans="1:16" x14ac:dyDescent="0.25">
      <c r="A320" s="42">
        <f t="shared" si="51"/>
        <v>150</v>
      </c>
      <c r="B320">
        <f t="shared" si="52"/>
        <v>8.0389999999999997</v>
      </c>
      <c r="D320" s="18">
        <f t="shared" si="53"/>
        <v>9.0389999999999997</v>
      </c>
      <c r="F320">
        <f t="shared" si="54"/>
        <v>6.6639999999999997</v>
      </c>
      <c r="H320" s="18">
        <f t="shared" si="55"/>
        <v>6.3196000000000003</v>
      </c>
      <c r="J320">
        <f t="shared" si="56"/>
        <v>9</v>
      </c>
      <c r="L320" s="18">
        <f t="shared" si="57"/>
        <v>9.4820000000000011</v>
      </c>
      <c r="N320">
        <f t="shared" si="58"/>
        <v>7.5489999999999995</v>
      </c>
      <c r="P320" s="18">
        <f t="shared" si="59"/>
        <v>7.5279999999999987</v>
      </c>
    </row>
  </sheetData>
  <phoneticPr fontId="3" type="noConversion"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45"/>
  <sheetViews>
    <sheetView workbookViewId="0"/>
  </sheetViews>
  <sheetFormatPr defaultColWidth="8.875" defaultRowHeight="16.5" x14ac:dyDescent="0.25"/>
  <cols>
    <col min="1" max="1" width="13.625" customWidth="1"/>
    <col min="2" max="2" width="9" customWidth="1"/>
    <col min="3" max="3" width="13.5" customWidth="1"/>
    <col min="4" max="4" width="9" customWidth="1"/>
    <col min="5" max="5" width="11" customWidth="1"/>
    <col min="6" max="9" width="9" customWidth="1"/>
    <col min="20" max="20" width="18.125" customWidth="1"/>
  </cols>
  <sheetData>
    <row r="1" spans="1:20" x14ac:dyDescent="0.25">
      <c r="A1" s="10" t="s">
        <v>127</v>
      </c>
      <c r="B1" s="3"/>
      <c r="C1" s="3"/>
      <c r="D1" s="3"/>
      <c r="E1" s="3"/>
      <c r="F1" s="3" t="s">
        <v>19</v>
      </c>
      <c r="G1" s="3"/>
      <c r="H1" s="3"/>
      <c r="I1" s="3"/>
      <c r="K1" s="5"/>
      <c r="L1" s="5"/>
      <c r="M1" s="5"/>
      <c r="N1" s="5"/>
      <c r="O1" s="5" t="s">
        <v>20</v>
      </c>
      <c r="P1" s="5"/>
      <c r="Q1" s="5"/>
      <c r="R1" s="5"/>
      <c r="T1" s="6" t="s">
        <v>77</v>
      </c>
    </row>
    <row r="2" spans="1:20" s="1" customFormat="1" x14ac:dyDescent="0.25">
      <c r="A2" s="11" t="s">
        <v>0</v>
      </c>
      <c r="B2" s="1" t="s">
        <v>13</v>
      </c>
      <c r="C2" s="1" t="s">
        <v>22</v>
      </c>
      <c r="D2" s="1" t="s">
        <v>14</v>
      </c>
      <c r="E2" s="1" t="s">
        <v>23</v>
      </c>
      <c r="F2" s="1" t="s">
        <v>15</v>
      </c>
      <c r="G2" s="1" t="s">
        <v>16</v>
      </c>
      <c r="H2" s="1" t="s">
        <v>17</v>
      </c>
      <c r="I2" s="1" t="s">
        <v>18</v>
      </c>
      <c r="K2" s="1" t="s">
        <v>13</v>
      </c>
      <c r="L2" s="1" t="s">
        <v>25</v>
      </c>
      <c r="M2" s="1" t="s">
        <v>30</v>
      </c>
      <c r="N2" s="1" t="s">
        <v>23</v>
      </c>
      <c r="O2" s="1" t="s">
        <v>15</v>
      </c>
      <c r="P2" s="1" t="s">
        <v>16</v>
      </c>
      <c r="Q2" s="1" t="s">
        <v>17</v>
      </c>
      <c r="R2" s="1" t="s">
        <v>18</v>
      </c>
    </row>
    <row r="3" spans="1:20" x14ac:dyDescent="0.25">
      <c r="A3" s="1" t="s">
        <v>2</v>
      </c>
    </row>
    <row r="4" spans="1:20" x14ac:dyDescent="0.25">
      <c r="A4" t="s">
        <v>9</v>
      </c>
      <c r="B4">
        <v>0.13969999999999999</v>
      </c>
      <c r="C4" t="s">
        <v>21</v>
      </c>
      <c r="D4">
        <v>1.194</v>
      </c>
      <c r="E4" t="s">
        <v>24</v>
      </c>
      <c r="F4">
        <v>292.39999999999998</v>
      </c>
      <c r="G4">
        <v>0.66449999999999998</v>
      </c>
      <c r="H4">
        <v>0.66190000000000004</v>
      </c>
      <c r="I4">
        <v>1.4830000000000001</v>
      </c>
      <c r="K4">
        <v>9.6549999999999997E-2</v>
      </c>
      <c r="L4" t="s">
        <v>73</v>
      </c>
      <c r="M4">
        <v>-0.87849999999999995</v>
      </c>
      <c r="N4" t="s">
        <v>74</v>
      </c>
      <c r="O4">
        <v>296.8</v>
      </c>
      <c r="P4">
        <v>0.65939999999999999</v>
      </c>
      <c r="Q4">
        <v>0.65680000000000005</v>
      </c>
      <c r="R4">
        <v>1.494</v>
      </c>
      <c r="T4">
        <f>G4-P4</f>
        <v>5.0999999999999934E-3</v>
      </c>
    </row>
    <row r="5" spans="1:20" x14ac:dyDescent="0.25">
      <c r="A5" t="s">
        <v>10</v>
      </c>
      <c r="B5">
        <v>0.12039999999999999</v>
      </c>
      <c r="C5" t="s">
        <v>26</v>
      </c>
      <c r="D5">
        <v>1.4610000000000001</v>
      </c>
      <c r="E5" t="s">
        <v>27</v>
      </c>
      <c r="F5">
        <v>209.4</v>
      </c>
      <c r="G5">
        <v>0.62670000000000003</v>
      </c>
      <c r="H5">
        <v>0.62390000000000001</v>
      </c>
      <c r="I5">
        <v>1.2549999999999999</v>
      </c>
      <c r="K5">
        <v>9.6659999999999996E-2</v>
      </c>
      <c r="L5" t="s">
        <v>75</v>
      </c>
      <c r="M5">
        <v>-0.86799999999999999</v>
      </c>
      <c r="N5" t="s">
        <v>76</v>
      </c>
      <c r="O5">
        <v>239.8</v>
      </c>
      <c r="P5">
        <v>0.57250000000000001</v>
      </c>
      <c r="Q5">
        <v>0.56930000000000003</v>
      </c>
      <c r="R5">
        <v>1.343</v>
      </c>
      <c r="T5">
        <f t="shared" ref="T5:T41" si="0">G5-P5</f>
        <v>5.4200000000000026E-2</v>
      </c>
    </row>
    <row r="6" spans="1:20" x14ac:dyDescent="0.25">
      <c r="A6" t="s">
        <v>11</v>
      </c>
      <c r="B6">
        <v>0.13070000000000001</v>
      </c>
      <c r="C6" t="s">
        <v>28</v>
      </c>
      <c r="D6">
        <v>1.5589999999999999</v>
      </c>
      <c r="E6" t="s">
        <v>29</v>
      </c>
      <c r="F6">
        <v>183.5</v>
      </c>
      <c r="G6">
        <v>0.71150000000000002</v>
      </c>
      <c r="H6">
        <v>0.70920000000000005</v>
      </c>
      <c r="I6">
        <v>1.2070000000000001</v>
      </c>
      <c r="K6">
        <v>0.1242</v>
      </c>
      <c r="L6" t="s">
        <v>78</v>
      </c>
      <c r="M6">
        <v>-0.86029999999999995</v>
      </c>
      <c r="N6" t="s">
        <v>79</v>
      </c>
      <c r="O6">
        <v>193.2</v>
      </c>
      <c r="P6">
        <v>0.69640000000000002</v>
      </c>
      <c r="Q6">
        <v>0.69399999999999995</v>
      </c>
      <c r="R6">
        <v>1.238</v>
      </c>
      <c r="T6">
        <f t="shared" si="0"/>
        <v>1.5100000000000002E-2</v>
      </c>
    </row>
    <row r="8" spans="1:20" x14ac:dyDescent="0.25">
      <c r="A8" s="1" t="s">
        <v>3</v>
      </c>
    </row>
    <row r="9" spans="1:20" x14ac:dyDescent="0.25">
      <c r="A9" t="s">
        <v>9</v>
      </c>
      <c r="B9">
        <v>0.13189999999999999</v>
      </c>
      <c r="C9" t="s">
        <v>31</v>
      </c>
      <c r="D9">
        <v>0.9546</v>
      </c>
      <c r="E9" t="s">
        <v>32</v>
      </c>
      <c r="F9">
        <v>210.9</v>
      </c>
      <c r="G9">
        <v>0.67190000000000005</v>
      </c>
      <c r="H9">
        <v>0.66900000000000004</v>
      </c>
      <c r="I9">
        <v>1.36</v>
      </c>
      <c r="K9">
        <v>7.5389999999999999E-2</v>
      </c>
      <c r="L9" t="s">
        <v>80</v>
      </c>
      <c r="M9">
        <v>-0.89539999999999997</v>
      </c>
      <c r="N9" t="s">
        <v>81</v>
      </c>
      <c r="O9">
        <v>204.8</v>
      </c>
      <c r="P9">
        <v>0.68130000000000002</v>
      </c>
      <c r="Q9">
        <v>0.67849999999999999</v>
      </c>
      <c r="R9">
        <v>1.34</v>
      </c>
      <c r="T9">
        <f t="shared" si="0"/>
        <v>-9.3999999999999639E-3</v>
      </c>
    </row>
    <row r="10" spans="1:20" x14ac:dyDescent="0.25">
      <c r="A10" t="s">
        <v>10</v>
      </c>
      <c r="B10">
        <v>8.745E-2</v>
      </c>
      <c r="C10" t="s">
        <v>33</v>
      </c>
      <c r="D10">
        <v>1.635</v>
      </c>
      <c r="E10" t="s">
        <v>34</v>
      </c>
      <c r="F10">
        <v>231.6</v>
      </c>
      <c r="G10">
        <v>0.48139999999999999</v>
      </c>
      <c r="H10">
        <v>0.47770000000000001</v>
      </c>
      <c r="I10">
        <v>1.282</v>
      </c>
      <c r="K10">
        <v>8.8789999999999994E-2</v>
      </c>
      <c r="L10" t="s">
        <v>82</v>
      </c>
      <c r="M10">
        <v>-0.84040000000000004</v>
      </c>
      <c r="N10" t="s">
        <v>83</v>
      </c>
      <c r="O10">
        <v>262.89999999999998</v>
      </c>
      <c r="P10">
        <v>0.41139999999999999</v>
      </c>
      <c r="Q10">
        <v>0.4073</v>
      </c>
      <c r="R10">
        <v>1.365</v>
      </c>
      <c r="T10">
        <f t="shared" si="0"/>
        <v>7.0000000000000007E-2</v>
      </c>
    </row>
    <row r="11" spans="1:20" x14ac:dyDescent="0.25">
      <c r="A11" t="s">
        <v>11</v>
      </c>
      <c r="B11">
        <v>0.14460000000000001</v>
      </c>
      <c r="C11" t="s">
        <v>35</v>
      </c>
      <c r="D11">
        <v>1.498</v>
      </c>
      <c r="E11" t="s">
        <v>36</v>
      </c>
      <c r="F11">
        <v>371.5</v>
      </c>
      <c r="G11">
        <v>0.62690000000000001</v>
      </c>
      <c r="H11">
        <v>0.62439999999999996</v>
      </c>
      <c r="I11">
        <v>1.5580000000000001</v>
      </c>
      <c r="K11">
        <v>0.1145</v>
      </c>
      <c r="L11" t="s">
        <v>84</v>
      </c>
      <c r="M11">
        <v>-0.87460000000000004</v>
      </c>
      <c r="N11" t="s">
        <v>85</v>
      </c>
      <c r="O11">
        <v>374.3</v>
      </c>
      <c r="P11">
        <v>0.62409999999999999</v>
      </c>
      <c r="Q11">
        <v>0.62160000000000004</v>
      </c>
      <c r="R11">
        <v>1.5640000000000001</v>
      </c>
      <c r="T11">
        <f t="shared" si="0"/>
        <v>2.8000000000000247E-3</v>
      </c>
    </row>
    <row r="13" spans="1:20" x14ac:dyDescent="0.25">
      <c r="A13" s="1" t="s">
        <v>4</v>
      </c>
    </row>
    <row r="14" spans="1:20" x14ac:dyDescent="0.25">
      <c r="A14" t="s">
        <v>9</v>
      </c>
      <c r="B14">
        <v>0.1087</v>
      </c>
      <c r="C14" t="s">
        <v>37</v>
      </c>
      <c r="D14">
        <v>1.643</v>
      </c>
      <c r="E14" t="s">
        <v>38</v>
      </c>
      <c r="F14">
        <v>304.89999999999998</v>
      </c>
      <c r="G14">
        <v>0.53990000000000005</v>
      </c>
      <c r="H14">
        <v>0.53620000000000001</v>
      </c>
      <c r="I14">
        <v>1.5620000000000001</v>
      </c>
      <c r="K14">
        <v>0.1065</v>
      </c>
      <c r="L14" t="s">
        <v>86</v>
      </c>
      <c r="M14">
        <v>-0.85350000000000004</v>
      </c>
      <c r="N14" t="s">
        <v>87</v>
      </c>
      <c r="O14">
        <v>326.10000000000002</v>
      </c>
      <c r="P14">
        <v>0.50790000000000002</v>
      </c>
      <c r="Q14">
        <v>0.50390000000000001</v>
      </c>
      <c r="R14">
        <v>1.615</v>
      </c>
      <c r="T14">
        <f t="shared" si="0"/>
        <v>3.2000000000000028E-2</v>
      </c>
    </row>
    <row r="15" spans="1:20" x14ac:dyDescent="0.25">
      <c r="A15" t="s">
        <v>10</v>
      </c>
      <c r="B15">
        <v>9.776E-2</v>
      </c>
      <c r="C15" t="s">
        <v>39</v>
      </c>
      <c r="D15">
        <v>1.4079999999999999</v>
      </c>
      <c r="E15" t="s">
        <v>40</v>
      </c>
      <c r="F15">
        <v>259.3</v>
      </c>
      <c r="G15">
        <v>0.47789999999999999</v>
      </c>
      <c r="H15">
        <v>0.47399999999999998</v>
      </c>
      <c r="I15">
        <v>1.381</v>
      </c>
      <c r="K15">
        <v>8.9620000000000005E-2</v>
      </c>
      <c r="L15" t="s">
        <v>88</v>
      </c>
      <c r="M15">
        <v>-0.84670000000000001</v>
      </c>
      <c r="N15" t="s">
        <v>89</v>
      </c>
      <c r="O15">
        <v>274.5</v>
      </c>
      <c r="P15">
        <v>0.44719999999999999</v>
      </c>
      <c r="Q15">
        <v>0.44309999999999999</v>
      </c>
      <c r="R15">
        <v>1.421</v>
      </c>
      <c r="T15">
        <f t="shared" si="0"/>
        <v>3.0700000000000005E-2</v>
      </c>
    </row>
    <row r="16" spans="1:20" x14ac:dyDescent="0.25">
      <c r="A16" t="s">
        <v>11</v>
      </c>
      <c r="B16">
        <v>9.1359999999999997E-2</v>
      </c>
      <c r="C16" t="s">
        <v>41</v>
      </c>
      <c r="D16">
        <v>1.82</v>
      </c>
      <c r="E16" t="s">
        <v>42</v>
      </c>
      <c r="F16">
        <v>309.3</v>
      </c>
      <c r="G16">
        <v>0.4738</v>
      </c>
      <c r="H16">
        <v>0.47039999999999998</v>
      </c>
      <c r="I16">
        <v>1.4079999999999999</v>
      </c>
      <c r="K16">
        <v>0.1217</v>
      </c>
      <c r="L16" t="s">
        <v>90</v>
      </c>
      <c r="M16">
        <v>-0.82830000000000004</v>
      </c>
      <c r="N16" t="s">
        <v>91</v>
      </c>
      <c r="O16">
        <v>304.8</v>
      </c>
      <c r="P16">
        <v>0.48139999999999999</v>
      </c>
      <c r="Q16">
        <v>0.47810000000000002</v>
      </c>
      <c r="R16">
        <v>1.3979999999999999</v>
      </c>
      <c r="T16">
        <f t="shared" si="0"/>
        <v>-7.5999999999999956E-3</v>
      </c>
    </row>
    <row r="18" spans="1:20" x14ac:dyDescent="0.25">
      <c r="A18" s="1" t="s">
        <v>12</v>
      </c>
    </row>
    <row r="19" spans="1:20" x14ac:dyDescent="0.25">
      <c r="A19" t="s">
        <v>9</v>
      </c>
      <c r="B19">
        <v>0.11849999999999999</v>
      </c>
      <c r="C19" t="s">
        <v>43</v>
      </c>
      <c r="D19">
        <v>1.6060000000000001</v>
      </c>
      <c r="E19" t="s">
        <v>44</v>
      </c>
      <c r="F19">
        <v>200.7</v>
      </c>
      <c r="G19">
        <v>0.6149</v>
      </c>
      <c r="H19">
        <v>0.61150000000000004</v>
      </c>
      <c r="I19">
        <v>1.333</v>
      </c>
      <c r="K19">
        <v>0.1077</v>
      </c>
      <c r="L19" t="s">
        <v>92</v>
      </c>
      <c r="M19">
        <v>-0.86009999999999998</v>
      </c>
      <c r="N19" t="s">
        <v>93</v>
      </c>
      <c r="O19">
        <v>204.9</v>
      </c>
      <c r="P19">
        <v>0.60680000000000001</v>
      </c>
      <c r="Q19">
        <v>0.60340000000000005</v>
      </c>
      <c r="R19">
        <v>1.347</v>
      </c>
      <c r="T19">
        <f t="shared" si="0"/>
        <v>8.0999999999999961E-3</v>
      </c>
    </row>
    <row r="20" spans="1:20" x14ac:dyDescent="0.25">
      <c r="A20" t="s">
        <v>10</v>
      </c>
      <c r="B20">
        <v>0.1021</v>
      </c>
      <c r="C20" t="s">
        <v>45</v>
      </c>
      <c r="D20">
        <v>1.466</v>
      </c>
      <c r="E20" t="s">
        <v>46</v>
      </c>
      <c r="F20">
        <v>240.8</v>
      </c>
      <c r="G20">
        <v>0.51219999999999999</v>
      </c>
      <c r="H20">
        <v>0.50829999999999997</v>
      </c>
      <c r="I20">
        <v>1.3819999999999999</v>
      </c>
      <c r="K20">
        <v>9.6890000000000004E-2</v>
      </c>
      <c r="L20" t="s">
        <v>94</v>
      </c>
      <c r="M20">
        <v>-0.8448</v>
      </c>
      <c r="N20" t="s">
        <v>95</v>
      </c>
      <c r="O20">
        <v>258.60000000000002</v>
      </c>
      <c r="P20">
        <v>0.47599999999999998</v>
      </c>
      <c r="Q20">
        <v>0.4718</v>
      </c>
      <c r="R20">
        <v>1.4330000000000001</v>
      </c>
      <c r="T20">
        <f t="shared" si="0"/>
        <v>3.620000000000001E-2</v>
      </c>
    </row>
    <row r="21" spans="1:20" x14ac:dyDescent="0.25">
      <c r="A21" t="s">
        <v>11</v>
      </c>
      <c r="B21">
        <v>9.2149999999999996E-2</v>
      </c>
      <c r="C21" t="s">
        <v>47</v>
      </c>
      <c r="D21">
        <v>1.383</v>
      </c>
      <c r="E21" t="s">
        <v>48</v>
      </c>
      <c r="F21">
        <v>275.2</v>
      </c>
      <c r="G21">
        <v>0.45350000000000001</v>
      </c>
      <c r="H21">
        <v>0.44890000000000002</v>
      </c>
      <c r="I21">
        <v>1.5209999999999999</v>
      </c>
      <c r="K21">
        <v>9.5990000000000006E-2</v>
      </c>
      <c r="L21" t="s">
        <v>96</v>
      </c>
      <c r="M21">
        <v>-0.83160000000000001</v>
      </c>
      <c r="N21" t="s">
        <v>97</v>
      </c>
      <c r="O21">
        <v>278.60000000000002</v>
      </c>
      <c r="P21">
        <v>0.44669999999999999</v>
      </c>
      <c r="Q21">
        <v>0.44209999999999999</v>
      </c>
      <c r="R21">
        <v>1.53</v>
      </c>
      <c r="T21">
        <f t="shared" si="0"/>
        <v>6.8000000000000282E-3</v>
      </c>
    </row>
    <row r="23" spans="1:20" x14ac:dyDescent="0.25">
      <c r="A23" s="1" t="s">
        <v>5</v>
      </c>
    </row>
    <row r="24" spans="1:20" x14ac:dyDescent="0.25">
      <c r="A24" t="s">
        <v>9</v>
      </c>
      <c r="B24">
        <v>0.11210000000000001</v>
      </c>
      <c r="C24" t="s">
        <v>49</v>
      </c>
      <c r="D24">
        <v>1.8640000000000001</v>
      </c>
      <c r="E24" t="s">
        <v>50</v>
      </c>
      <c r="F24">
        <v>245.9</v>
      </c>
      <c r="G24">
        <v>0.624</v>
      </c>
      <c r="H24">
        <v>0.62139999999999995</v>
      </c>
      <c r="I24">
        <v>1.302</v>
      </c>
      <c r="K24">
        <v>0.10050000000000001</v>
      </c>
      <c r="L24" t="s">
        <v>98</v>
      </c>
      <c r="M24">
        <v>-0.86650000000000005</v>
      </c>
      <c r="N24" t="s">
        <v>99</v>
      </c>
      <c r="O24">
        <v>302.10000000000002</v>
      </c>
      <c r="P24">
        <v>0.53800000000000003</v>
      </c>
      <c r="Q24">
        <v>0.53480000000000005</v>
      </c>
      <c r="R24">
        <v>1.4430000000000001</v>
      </c>
      <c r="T24">
        <f t="shared" si="0"/>
        <v>8.5999999999999965E-2</v>
      </c>
    </row>
    <row r="25" spans="1:20" x14ac:dyDescent="0.25">
      <c r="A25" t="s">
        <v>10</v>
      </c>
      <c r="B25">
        <v>9.7220000000000001E-2</v>
      </c>
      <c r="C25" t="s">
        <v>51</v>
      </c>
      <c r="D25">
        <v>2.08</v>
      </c>
      <c r="E25" t="s">
        <v>52</v>
      </c>
      <c r="F25">
        <v>254</v>
      </c>
      <c r="G25">
        <v>0.50070000000000003</v>
      </c>
      <c r="H25">
        <v>0.49690000000000001</v>
      </c>
      <c r="I25">
        <v>1.3979999999999999</v>
      </c>
      <c r="K25">
        <v>0.1081</v>
      </c>
      <c r="L25" t="s">
        <v>100</v>
      </c>
      <c r="M25">
        <v>-0.85089999999999999</v>
      </c>
      <c r="N25" t="s">
        <v>101</v>
      </c>
      <c r="O25">
        <v>302.7</v>
      </c>
      <c r="P25">
        <v>0.40500000000000003</v>
      </c>
      <c r="Q25">
        <v>0.40039999999999998</v>
      </c>
      <c r="R25">
        <v>1.526</v>
      </c>
      <c r="T25">
        <f t="shared" si="0"/>
        <v>9.5700000000000007E-2</v>
      </c>
    </row>
    <row r="26" spans="1:20" x14ac:dyDescent="0.25">
      <c r="A26" t="s">
        <v>11</v>
      </c>
      <c r="B26">
        <v>0.1211</v>
      </c>
      <c r="C26" t="s">
        <v>53</v>
      </c>
      <c r="D26">
        <v>2.7370000000000001</v>
      </c>
      <c r="E26" t="s">
        <v>54</v>
      </c>
      <c r="F26">
        <v>243.1</v>
      </c>
      <c r="G26">
        <v>0.63790000000000002</v>
      </c>
      <c r="H26">
        <v>0.63500000000000001</v>
      </c>
      <c r="I26">
        <v>1.3779999999999999</v>
      </c>
      <c r="K26">
        <v>0.14299999999999999</v>
      </c>
      <c r="L26" t="s">
        <v>102</v>
      </c>
      <c r="M26">
        <v>-0.874</v>
      </c>
      <c r="N26" t="s">
        <v>103</v>
      </c>
      <c r="O26">
        <v>303.8</v>
      </c>
      <c r="P26">
        <v>0.5474</v>
      </c>
      <c r="Q26">
        <v>0.54390000000000005</v>
      </c>
      <c r="R26">
        <v>1.5409999999999999</v>
      </c>
      <c r="T26">
        <f t="shared" si="0"/>
        <v>9.0500000000000025E-2</v>
      </c>
    </row>
    <row r="28" spans="1:20" x14ac:dyDescent="0.25">
      <c r="A28" s="1" t="s">
        <v>6</v>
      </c>
    </row>
    <row r="29" spans="1:20" x14ac:dyDescent="0.25">
      <c r="A29" t="s">
        <v>9</v>
      </c>
      <c r="B29">
        <v>0.13220000000000001</v>
      </c>
      <c r="C29" t="s">
        <v>55</v>
      </c>
      <c r="D29">
        <v>1.7370000000000001</v>
      </c>
      <c r="E29" t="s">
        <v>56</v>
      </c>
      <c r="F29">
        <v>274.5</v>
      </c>
      <c r="G29">
        <v>0.6119</v>
      </c>
      <c r="H29">
        <v>0.60880000000000001</v>
      </c>
      <c r="I29">
        <v>1.488</v>
      </c>
      <c r="K29">
        <v>9.6479999999999996E-2</v>
      </c>
      <c r="L29" t="s">
        <v>104</v>
      </c>
      <c r="M29">
        <v>-0.88439999999999996</v>
      </c>
      <c r="N29" t="s">
        <v>105</v>
      </c>
      <c r="O29">
        <v>313.10000000000002</v>
      </c>
      <c r="P29">
        <v>0.55720000000000003</v>
      </c>
      <c r="Q29">
        <v>0.55369999999999997</v>
      </c>
      <c r="R29">
        <v>1.589</v>
      </c>
      <c r="T29">
        <f t="shared" si="0"/>
        <v>5.4699999999999971E-2</v>
      </c>
    </row>
    <row r="30" spans="1:20" x14ac:dyDescent="0.25">
      <c r="A30" t="s">
        <v>10</v>
      </c>
      <c r="B30">
        <v>0.1168</v>
      </c>
      <c r="C30" t="s">
        <v>57</v>
      </c>
      <c r="D30">
        <v>1.915</v>
      </c>
      <c r="E30" t="s">
        <v>58</v>
      </c>
      <c r="F30">
        <v>256.39999999999998</v>
      </c>
      <c r="G30">
        <v>0.54039999999999999</v>
      </c>
      <c r="H30">
        <v>0.53669999999999995</v>
      </c>
      <c r="I30">
        <v>1.4319999999999999</v>
      </c>
      <c r="K30">
        <v>0.1169</v>
      </c>
      <c r="L30" t="s">
        <v>106</v>
      </c>
      <c r="M30">
        <v>-0.86009999999999998</v>
      </c>
      <c r="N30" t="s">
        <v>107</v>
      </c>
      <c r="O30">
        <v>282.60000000000002</v>
      </c>
      <c r="P30">
        <v>0.49340000000000001</v>
      </c>
      <c r="Q30">
        <v>0.48930000000000001</v>
      </c>
      <c r="R30">
        <v>1.504</v>
      </c>
      <c r="T30">
        <f t="shared" si="0"/>
        <v>4.6999999999999986E-2</v>
      </c>
    </row>
    <row r="31" spans="1:20" x14ac:dyDescent="0.25">
      <c r="A31" t="s">
        <v>11</v>
      </c>
      <c r="B31">
        <v>0.14410000000000001</v>
      </c>
      <c r="C31" t="s">
        <v>59</v>
      </c>
      <c r="D31">
        <v>2.169</v>
      </c>
      <c r="E31" t="s">
        <v>60</v>
      </c>
      <c r="F31">
        <v>295.39999999999998</v>
      </c>
      <c r="G31">
        <v>0.64510000000000001</v>
      </c>
      <c r="H31">
        <v>0.64249999999999996</v>
      </c>
      <c r="I31">
        <v>1.468</v>
      </c>
      <c r="K31">
        <v>0.11799999999999999</v>
      </c>
      <c r="L31" t="s">
        <v>108</v>
      </c>
      <c r="M31">
        <v>-0.88529999999999998</v>
      </c>
      <c r="N31" t="s">
        <v>109</v>
      </c>
      <c r="O31">
        <v>345.4</v>
      </c>
      <c r="P31">
        <v>0.58499999999999996</v>
      </c>
      <c r="Q31">
        <v>0.58199999999999996</v>
      </c>
      <c r="R31">
        <v>1.5880000000000001</v>
      </c>
      <c r="T31">
        <f t="shared" si="0"/>
        <v>6.0100000000000042E-2</v>
      </c>
    </row>
    <row r="33" spans="1:20" x14ac:dyDescent="0.25">
      <c r="A33" s="1" t="s">
        <v>7</v>
      </c>
    </row>
    <row r="34" spans="1:20" x14ac:dyDescent="0.25">
      <c r="A34" t="s">
        <v>9</v>
      </c>
      <c r="B34">
        <v>0.125</v>
      </c>
      <c r="C34" t="s">
        <v>61</v>
      </c>
      <c r="D34">
        <v>1.9490000000000001</v>
      </c>
      <c r="E34" t="s">
        <v>62</v>
      </c>
      <c r="F34">
        <v>271.39999999999998</v>
      </c>
      <c r="G34">
        <v>0.65010000000000001</v>
      </c>
      <c r="H34">
        <v>0.64739999999999998</v>
      </c>
      <c r="I34">
        <v>1.4450000000000001</v>
      </c>
      <c r="K34">
        <v>0.12959999999999999</v>
      </c>
      <c r="L34" t="s">
        <v>110</v>
      </c>
      <c r="M34">
        <v>-0.86560000000000004</v>
      </c>
      <c r="N34" t="s">
        <v>111</v>
      </c>
      <c r="O34">
        <v>265.2</v>
      </c>
      <c r="P34">
        <v>0.65820000000000001</v>
      </c>
      <c r="Q34">
        <v>0.65549999999999997</v>
      </c>
      <c r="R34">
        <v>1.4279999999999999</v>
      </c>
      <c r="T34">
        <f t="shared" si="0"/>
        <v>-8.0999999999999961E-3</v>
      </c>
    </row>
    <row r="35" spans="1:20" x14ac:dyDescent="0.25">
      <c r="A35" t="s">
        <v>10</v>
      </c>
      <c r="B35">
        <v>9.5070000000000002E-2</v>
      </c>
      <c r="C35" t="s">
        <v>63</v>
      </c>
      <c r="D35">
        <v>1.7929999999999999</v>
      </c>
      <c r="E35" t="s">
        <v>64</v>
      </c>
      <c r="F35">
        <v>275.39999999999998</v>
      </c>
      <c r="G35">
        <v>0.48699999999999999</v>
      </c>
      <c r="H35">
        <v>0.48309999999999997</v>
      </c>
      <c r="I35">
        <v>1.444</v>
      </c>
      <c r="K35">
        <v>9.7439999999999999E-2</v>
      </c>
      <c r="L35" t="s">
        <v>112</v>
      </c>
      <c r="M35">
        <v>-0.84789999999999999</v>
      </c>
      <c r="N35" t="s">
        <v>113</v>
      </c>
      <c r="O35">
        <v>314.2</v>
      </c>
      <c r="P35">
        <v>0.41470000000000001</v>
      </c>
      <c r="Q35">
        <v>0.4103</v>
      </c>
      <c r="R35">
        <v>1.5429999999999999</v>
      </c>
      <c r="T35">
        <f t="shared" si="0"/>
        <v>7.2299999999999975E-2</v>
      </c>
    </row>
    <row r="36" spans="1:20" x14ac:dyDescent="0.25">
      <c r="A36" t="s">
        <v>11</v>
      </c>
      <c r="B36">
        <v>0.1159</v>
      </c>
      <c r="C36" t="s">
        <v>65</v>
      </c>
      <c r="D36">
        <v>1.7270000000000001</v>
      </c>
      <c r="E36" t="s">
        <v>66</v>
      </c>
      <c r="F36">
        <v>256.2</v>
      </c>
      <c r="G36">
        <v>0.59789999999999999</v>
      </c>
      <c r="H36">
        <v>0.59489999999999998</v>
      </c>
      <c r="I36">
        <v>1.383</v>
      </c>
      <c r="K36">
        <v>0.1009</v>
      </c>
      <c r="L36" t="s">
        <v>114</v>
      </c>
      <c r="M36">
        <v>-0.86560000000000004</v>
      </c>
      <c r="N36" t="s">
        <v>115</v>
      </c>
      <c r="O36">
        <v>292.3</v>
      </c>
      <c r="P36">
        <v>0.54139999999999999</v>
      </c>
      <c r="Q36">
        <v>0.53800000000000003</v>
      </c>
      <c r="R36">
        <v>1.4770000000000001</v>
      </c>
      <c r="T36">
        <f t="shared" si="0"/>
        <v>5.6499999999999995E-2</v>
      </c>
    </row>
    <row r="38" spans="1:20" x14ac:dyDescent="0.25">
      <c r="A38" s="1" t="s">
        <v>8</v>
      </c>
    </row>
    <row r="39" spans="1:20" x14ac:dyDescent="0.25">
      <c r="A39" t="s">
        <v>9</v>
      </c>
      <c r="B39">
        <v>7.4550000000000005E-2</v>
      </c>
      <c r="C39" t="s">
        <v>67</v>
      </c>
      <c r="D39">
        <v>1.9450000000000001</v>
      </c>
      <c r="E39" t="s">
        <v>68</v>
      </c>
      <c r="F39">
        <v>331.4</v>
      </c>
      <c r="G39">
        <v>0.30330000000000001</v>
      </c>
      <c r="H39">
        <v>0.2974</v>
      </c>
      <c r="I39">
        <v>1.6759999999999999</v>
      </c>
      <c r="K39">
        <v>9.0609999999999996E-2</v>
      </c>
      <c r="L39" t="s">
        <v>116</v>
      </c>
      <c r="M39">
        <v>-0.83299999999999996</v>
      </c>
      <c r="N39" t="s">
        <v>117</v>
      </c>
      <c r="O39">
        <v>369.1</v>
      </c>
      <c r="P39">
        <v>0.22409999999999999</v>
      </c>
      <c r="Q39">
        <v>0.2175</v>
      </c>
      <c r="R39">
        <v>1.7689999999999999</v>
      </c>
      <c r="T39">
        <f t="shared" si="0"/>
        <v>7.920000000000002E-2</v>
      </c>
    </row>
    <row r="40" spans="1:20" x14ac:dyDescent="0.25">
      <c r="A40" t="s">
        <v>10</v>
      </c>
      <c r="B40">
        <v>0.10059999999999999</v>
      </c>
      <c r="C40" t="s">
        <v>69</v>
      </c>
      <c r="D40">
        <v>1.492</v>
      </c>
      <c r="E40" t="s">
        <v>70</v>
      </c>
      <c r="F40">
        <v>246.2</v>
      </c>
      <c r="G40">
        <v>0.4748</v>
      </c>
      <c r="H40">
        <v>0.47060000000000002</v>
      </c>
      <c r="I40">
        <v>1.403</v>
      </c>
      <c r="K40">
        <v>9.2189999999999994E-2</v>
      </c>
      <c r="L40" t="s">
        <v>118</v>
      </c>
      <c r="M40">
        <v>-0.84860000000000002</v>
      </c>
      <c r="N40" t="s">
        <v>119</v>
      </c>
      <c r="O40">
        <v>262.5</v>
      </c>
      <c r="P40">
        <v>0.44019999999999998</v>
      </c>
      <c r="Q40">
        <v>0.43569999999999998</v>
      </c>
      <c r="R40">
        <v>1.4490000000000001</v>
      </c>
      <c r="T40">
        <f t="shared" si="0"/>
        <v>3.460000000000002E-2</v>
      </c>
    </row>
    <row r="41" spans="1:20" x14ac:dyDescent="0.25">
      <c r="A41" t="s">
        <v>11</v>
      </c>
      <c r="B41">
        <v>9.4500000000000001E-2</v>
      </c>
      <c r="C41" t="s">
        <v>71</v>
      </c>
      <c r="D41">
        <v>2.456</v>
      </c>
      <c r="E41" t="s">
        <v>72</v>
      </c>
      <c r="F41">
        <v>340.4</v>
      </c>
      <c r="G41">
        <v>0.46429999999999999</v>
      </c>
      <c r="H41">
        <v>0.4607</v>
      </c>
      <c r="I41">
        <v>1.512</v>
      </c>
      <c r="K41">
        <v>0.1464</v>
      </c>
      <c r="L41" t="s">
        <v>120</v>
      </c>
      <c r="M41">
        <v>-0.84309999999999996</v>
      </c>
      <c r="N41" t="s">
        <v>121</v>
      </c>
      <c r="O41">
        <v>369.7</v>
      </c>
      <c r="P41">
        <v>0.41830000000000001</v>
      </c>
      <c r="Q41">
        <v>0.41439999999999999</v>
      </c>
      <c r="R41">
        <v>1.575</v>
      </c>
      <c r="T41">
        <f t="shared" si="0"/>
        <v>4.5999999999999985E-2</v>
      </c>
    </row>
    <row r="43" spans="1:20" s="7" customFormat="1" x14ac:dyDescent="0.25">
      <c r="A43" s="2" t="s">
        <v>122</v>
      </c>
      <c r="B43" s="4">
        <f>AVERAGE(B4:B41)</f>
        <v>0.11226916666666668</v>
      </c>
      <c r="G43" s="4">
        <f>AVERAGE(G3:G41)</f>
        <v>0.5580208333333333</v>
      </c>
      <c r="K43" s="4">
        <f>AVERAGE(K4:K41)</f>
        <v>0.10644208333333334</v>
      </c>
      <c r="P43" s="4">
        <f>AVERAGE(P3:P41)</f>
        <v>0.51808333333333334</v>
      </c>
      <c r="T43" s="4">
        <f>AVERAGE(T4:T41)</f>
        <v>3.9937500000000015E-2</v>
      </c>
    </row>
    <row r="44" spans="1:20" x14ac:dyDescent="0.25">
      <c r="A44" s="1" t="s">
        <v>123</v>
      </c>
    </row>
    <row r="45" spans="1:20" x14ac:dyDescent="0.25">
      <c r="A45" s="1" t="s">
        <v>124</v>
      </c>
    </row>
  </sheetData>
  <phoneticPr fontId="3" type="noConversion"/>
  <pageMargins left="0.7" right="0.7" top="0.75" bottom="0.75" header="0.3" footer="0.3"/>
  <pageSetup orientation="portrait"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Fits&amp;R^2</vt:lpstr>
      <vt:lpstr>Predicted Y's</vt:lpstr>
      <vt:lpstr>ResultsAcrossDuration</vt:lpstr>
    </vt:vector>
  </TitlesOfParts>
  <Company>University of Denver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VPEC</dc:creator>
  <cp:lastModifiedBy>劉芸均</cp:lastModifiedBy>
  <dcterms:created xsi:type="dcterms:W3CDTF">2014-08-25T18:01:58Z</dcterms:created>
  <dcterms:modified xsi:type="dcterms:W3CDTF">2017-03-19T02:51:53Z</dcterms:modified>
</cp:coreProperties>
</file>